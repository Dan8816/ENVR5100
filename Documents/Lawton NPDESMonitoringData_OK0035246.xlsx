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013579\Documents\My Documents\PSO Water\Comanche\"/>
    </mc:Choice>
  </mc:AlternateContent>
  <xr:revisionPtr revIDLastSave="0" documentId="13_ncr:1_{15E25B24-246B-4780-BA1A-B2A1181FFF0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PDES Monitoring Data Download" sheetId="1" r:id="rId1"/>
    <sheet name="Sheet1" sheetId="2" r:id="rId2"/>
    <sheet name="Outfall 003 to Plant" sheetId="3" r:id="rId3"/>
    <sheet name="Rate Compli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7" i="4" l="1"/>
  <c r="V187" i="4"/>
  <c r="U187" i="4"/>
  <c r="T187" i="4"/>
  <c r="S187" i="4"/>
  <c r="R187" i="4"/>
  <c r="O187" i="4"/>
  <c r="N187" i="4"/>
  <c r="M187" i="4"/>
  <c r="L187" i="4"/>
  <c r="K187" i="4"/>
  <c r="J187" i="4"/>
  <c r="I187" i="4"/>
  <c r="H187" i="4"/>
  <c r="G187" i="4"/>
  <c r="F187" i="4"/>
  <c r="E187" i="4"/>
  <c r="W186" i="4"/>
  <c r="V186" i="4"/>
  <c r="U186" i="4"/>
  <c r="T186" i="4"/>
  <c r="S186" i="4"/>
  <c r="R186" i="4"/>
  <c r="O186" i="4"/>
  <c r="N186" i="4"/>
  <c r="M186" i="4"/>
  <c r="L186" i="4"/>
  <c r="K186" i="4"/>
  <c r="J186" i="4"/>
  <c r="I186" i="4"/>
  <c r="H186" i="4"/>
  <c r="G186" i="4"/>
  <c r="F186" i="4"/>
  <c r="E186" i="4"/>
  <c r="W185" i="4"/>
  <c r="V185" i="4"/>
  <c r="U185" i="4"/>
  <c r="T185" i="4"/>
  <c r="S185" i="4"/>
  <c r="R185" i="4"/>
  <c r="O185" i="4"/>
  <c r="N185" i="4"/>
  <c r="M185" i="4"/>
  <c r="L185" i="4"/>
  <c r="K185" i="4"/>
  <c r="J185" i="4"/>
  <c r="I185" i="4"/>
  <c r="H185" i="4"/>
  <c r="G185" i="4"/>
  <c r="F185" i="4"/>
  <c r="E185" i="4"/>
  <c r="W184" i="4"/>
  <c r="V184" i="4"/>
  <c r="U184" i="4"/>
  <c r="T184" i="4"/>
  <c r="S184" i="4"/>
  <c r="R184" i="4"/>
  <c r="O184" i="4"/>
  <c r="N184" i="4"/>
  <c r="M184" i="4"/>
  <c r="L184" i="4"/>
  <c r="K184" i="4"/>
  <c r="J184" i="4"/>
  <c r="I184" i="4"/>
  <c r="H184" i="4"/>
  <c r="G184" i="4"/>
  <c r="F184" i="4"/>
  <c r="E184" i="4"/>
  <c r="W183" i="4"/>
  <c r="V183" i="4"/>
  <c r="U183" i="4"/>
  <c r="T183" i="4"/>
  <c r="S183" i="4"/>
  <c r="R183" i="4"/>
  <c r="O183" i="4"/>
  <c r="N183" i="4"/>
  <c r="M183" i="4"/>
  <c r="L183" i="4"/>
  <c r="K183" i="4"/>
  <c r="J183" i="4"/>
  <c r="I183" i="4"/>
  <c r="H183" i="4"/>
  <c r="G183" i="4"/>
  <c r="F183" i="4"/>
  <c r="E183" i="4"/>
  <c r="W182" i="4"/>
  <c r="V182" i="4"/>
  <c r="U182" i="4"/>
  <c r="T182" i="4"/>
  <c r="S182" i="4"/>
  <c r="R182" i="4"/>
  <c r="O182" i="4"/>
  <c r="N182" i="4"/>
  <c r="M182" i="4"/>
  <c r="L182" i="4"/>
  <c r="K182" i="4"/>
  <c r="J182" i="4"/>
  <c r="I182" i="4"/>
  <c r="H182" i="4"/>
  <c r="G182" i="4"/>
  <c r="F182" i="4"/>
  <c r="E182" i="4"/>
  <c r="W181" i="4"/>
  <c r="V181" i="4"/>
  <c r="U181" i="4"/>
  <c r="T181" i="4"/>
  <c r="S181" i="4"/>
  <c r="R181" i="4"/>
  <c r="O181" i="4"/>
  <c r="N181" i="4"/>
  <c r="M181" i="4"/>
  <c r="L181" i="4"/>
  <c r="K181" i="4"/>
  <c r="J181" i="4"/>
  <c r="I181" i="4"/>
  <c r="H181" i="4"/>
  <c r="G181" i="4"/>
  <c r="F181" i="4"/>
  <c r="E181" i="4"/>
  <c r="W180" i="4"/>
  <c r="V180" i="4"/>
  <c r="U180" i="4"/>
  <c r="T180" i="4"/>
  <c r="S180" i="4"/>
  <c r="R180" i="4"/>
  <c r="O180" i="4"/>
  <c r="N180" i="4"/>
  <c r="M180" i="4"/>
  <c r="L180" i="4"/>
  <c r="K180" i="4"/>
  <c r="J180" i="4"/>
  <c r="I180" i="4"/>
  <c r="H180" i="4"/>
  <c r="G180" i="4"/>
  <c r="F180" i="4"/>
  <c r="E180" i="4"/>
  <c r="W179" i="4"/>
  <c r="V179" i="4"/>
  <c r="U179" i="4"/>
  <c r="T179" i="4"/>
  <c r="S179" i="4"/>
  <c r="R179" i="4"/>
  <c r="O179" i="4"/>
  <c r="N179" i="4"/>
  <c r="M179" i="4"/>
  <c r="L179" i="4"/>
  <c r="K179" i="4"/>
  <c r="J179" i="4"/>
  <c r="I179" i="4"/>
  <c r="H179" i="4"/>
  <c r="G179" i="4"/>
  <c r="F179" i="4"/>
  <c r="E179" i="4"/>
  <c r="W178" i="4"/>
  <c r="V178" i="4"/>
  <c r="U178" i="4"/>
  <c r="T178" i="4"/>
  <c r="S178" i="4"/>
  <c r="R178" i="4"/>
  <c r="O178" i="4"/>
  <c r="N178" i="4"/>
  <c r="M178" i="4"/>
  <c r="L178" i="4"/>
  <c r="K178" i="4"/>
  <c r="J178" i="4"/>
  <c r="I178" i="4"/>
  <c r="H178" i="4"/>
  <c r="G178" i="4"/>
  <c r="F178" i="4"/>
  <c r="E178" i="4"/>
  <c r="W177" i="4"/>
  <c r="V177" i="4"/>
  <c r="U177" i="4"/>
  <c r="T177" i="4"/>
  <c r="S177" i="4"/>
  <c r="R177" i="4"/>
  <c r="O177" i="4"/>
  <c r="N177" i="4"/>
  <c r="M177" i="4"/>
  <c r="L177" i="4"/>
  <c r="K177" i="4"/>
  <c r="J177" i="4"/>
  <c r="I177" i="4"/>
  <c r="H177" i="4"/>
  <c r="G177" i="4"/>
  <c r="F177" i="4"/>
  <c r="E177" i="4"/>
  <c r="W176" i="4"/>
  <c r="V176" i="4"/>
  <c r="U176" i="4"/>
  <c r="T176" i="4"/>
  <c r="S176" i="4"/>
  <c r="R176" i="4"/>
  <c r="O176" i="4"/>
  <c r="N176" i="4"/>
  <c r="M176" i="4"/>
  <c r="L176" i="4"/>
  <c r="K176" i="4"/>
  <c r="J176" i="4"/>
  <c r="I176" i="4"/>
  <c r="H176" i="4"/>
  <c r="G176" i="4"/>
  <c r="F176" i="4"/>
  <c r="E176" i="4"/>
  <c r="D187" i="4"/>
  <c r="B187" i="4" s="1"/>
  <c r="C187" i="4" s="1"/>
  <c r="D186" i="4"/>
  <c r="B186" i="4" s="1"/>
  <c r="C186" i="4" s="1"/>
  <c r="D185" i="4"/>
  <c r="B185" i="4" s="1"/>
  <c r="C185" i="4" s="1"/>
  <c r="D184" i="4"/>
  <c r="B184" i="4" s="1"/>
  <c r="C184" i="4" s="1"/>
  <c r="D183" i="4"/>
  <c r="B183" i="4" s="1"/>
  <c r="C183" i="4" s="1"/>
  <c r="D182" i="4"/>
  <c r="B182" i="4" s="1"/>
  <c r="C182" i="4" s="1"/>
  <c r="D181" i="4"/>
  <c r="B181" i="4" s="1"/>
  <c r="C181" i="4" s="1"/>
  <c r="D180" i="4"/>
  <c r="B180" i="4" s="1"/>
  <c r="C180" i="4" s="1"/>
  <c r="D179" i="4"/>
  <c r="B179" i="4" s="1"/>
  <c r="C179" i="4" s="1"/>
  <c r="D178" i="4"/>
  <c r="B178" i="4" s="1"/>
  <c r="C178" i="4" s="1"/>
  <c r="D177" i="4"/>
  <c r="B177" i="4" s="1"/>
  <c r="C177" i="4" s="1"/>
  <c r="D176" i="4"/>
  <c r="B176" i="4" s="1"/>
  <c r="C176" i="4" s="1"/>
  <c r="C188" i="4" s="1"/>
  <c r="C174" i="4"/>
  <c r="V139" i="4"/>
  <c r="W139" i="4"/>
  <c r="W136" i="4"/>
  <c r="V136" i="4"/>
  <c r="W144" i="4"/>
  <c r="V144" i="4"/>
  <c r="W143" i="4"/>
  <c r="V143" i="4"/>
  <c r="W142" i="4"/>
  <c r="V142" i="4"/>
  <c r="W141" i="4"/>
  <c r="V141" i="4"/>
  <c r="W140" i="4"/>
  <c r="V140" i="4"/>
  <c r="W138" i="4"/>
  <c r="V138" i="4"/>
  <c r="W137" i="4"/>
  <c r="V137" i="4"/>
  <c r="W135" i="4"/>
  <c r="V135" i="4"/>
  <c r="W134" i="4"/>
  <c r="V134" i="4"/>
  <c r="W133" i="4"/>
  <c r="V133" i="4"/>
  <c r="S144" i="4"/>
  <c r="R144" i="4"/>
  <c r="S143" i="4"/>
  <c r="R143" i="4"/>
  <c r="S142" i="4"/>
  <c r="R142" i="4"/>
  <c r="S141" i="4"/>
  <c r="R141" i="4"/>
  <c r="S140" i="4"/>
  <c r="R140" i="4"/>
  <c r="S139" i="4"/>
  <c r="R139" i="4"/>
  <c r="S138" i="4"/>
  <c r="R138" i="4"/>
  <c r="S137" i="4"/>
  <c r="R137" i="4"/>
  <c r="S136" i="4"/>
  <c r="R136" i="4"/>
  <c r="S135" i="4"/>
  <c r="R135" i="4"/>
  <c r="S134" i="4"/>
  <c r="R134" i="4"/>
  <c r="S133" i="4"/>
  <c r="R133" i="4"/>
  <c r="P138" i="4"/>
  <c r="P137" i="4"/>
  <c r="P135" i="4"/>
  <c r="P136" i="4"/>
  <c r="P139" i="4"/>
  <c r="X139" i="4"/>
  <c r="Y139" i="4"/>
  <c r="Y136" i="4"/>
  <c r="X136" i="4"/>
  <c r="Y143" i="4"/>
  <c r="X143" i="4"/>
  <c r="Y142" i="4"/>
  <c r="X142" i="4"/>
  <c r="Y141" i="4"/>
  <c r="X141" i="4"/>
  <c r="Y140" i="4"/>
  <c r="X140" i="4"/>
  <c r="Y138" i="4"/>
  <c r="X138" i="4"/>
  <c r="Y137" i="4"/>
  <c r="X137" i="4"/>
  <c r="Y135" i="4"/>
  <c r="X135" i="4"/>
  <c r="Y134" i="4"/>
  <c r="X134" i="4"/>
  <c r="Y133" i="4"/>
  <c r="X133" i="4"/>
  <c r="Y144" i="4"/>
  <c r="X144" i="4"/>
  <c r="Y173" i="4"/>
  <c r="X173" i="4"/>
  <c r="Y172" i="4"/>
  <c r="X172" i="4"/>
  <c r="Y171" i="4"/>
  <c r="X171" i="4"/>
  <c r="Y170" i="4"/>
  <c r="X170" i="4"/>
  <c r="Y169" i="4"/>
  <c r="X169" i="4"/>
  <c r="Y168" i="4"/>
  <c r="X168" i="4"/>
  <c r="Y167" i="4"/>
  <c r="X167" i="4"/>
  <c r="Y166" i="4"/>
  <c r="X166" i="4"/>
  <c r="Y165" i="4"/>
  <c r="X165" i="4"/>
  <c r="Y164" i="4"/>
  <c r="X164" i="4"/>
  <c r="Y163" i="4"/>
  <c r="X163" i="4"/>
  <c r="Y162" i="4"/>
  <c r="X162" i="4"/>
  <c r="P168" i="4"/>
  <c r="P167" i="4"/>
  <c r="P166" i="4"/>
  <c r="P165" i="4"/>
  <c r="P164" i="4"/>
  <c r="Q173" i="4"/>
  <c r="Q172" i="4"/>
  <c r="Q171" i="4"/>
  <c r="Q170" i="4"/>
  <c r="Q169" i="4"/>
  <c r="Q163" i="4"/>
  <c r="Q162" i="4"/>
  <c r="W173" i="4"/>
  <c r="V173" i="4"/>
  <c r="U173" i="4"/>
  <c r="T173" i="4"/>
  <c r="S173" i="4"/>
  <c r="R173" i="4"/>
  <c r="W172" i="4"/>
  <c r="V172" i="4"/>
  <c r="U172" i="4"/>
  <c r="T172" i="4"/>
  <c r="S172" i="4"/>
  <c r="R172" i="4"/>
  <c r="W171" i="4"/>
  <c r="V171" i="4"/>
  <c r="U171" i="4"/>
  <c r="T171" i="4"/>
  <c r="S171" i="4"/>
  <c r="R171" i="4"/>
  <c r="W170" i="4"/>
  <c r="V170" i="4"/>
  <c r="U170" i="4"/>
  <c r="T170" i="4"/>
  <c r="S170" i="4"/>
  <c r="R170" i="4"/>
  <c r="W169" i="4"/>
  <c r="V169" i="4"/>
  <c r="U169" i="4"/>
  <c r="T169" i="4"/>
  <c r="S169" i="4"/>
  <c r="R169" i="4"/>
  <c r="W168" i="4"/>
  <c r="V168" i="4"/>
  <c r="U168" i="4"/>
  <c r="T168" i="4"/>
  <c r="S168" i="4"/>
  <c r="R168" i="4"/>
  <c r="W167" i="4"/>
  <c r="V167" i="4"/>
  <c r="U167" i="4"/>
  <c r="T167" i="4"/>
  <c r="S167" i="4"/>
  <c r="R167" i="4"/>
  <c r="W166" i="4"/>
  <c r="V166" i="4"/>
  <c r="U166" i="4"/>
  <c r="T166" i="4"/>
  <c r="S166" i="4"/>
  <c r="R166" i="4"/>
  <c r="W165" i="4"/>
  <c r="V165" i="4"/>
  <c r="U165" i="4"/>
  <c r="T165" i="4"/>
  <c r="S165" i="4"/>
  <c r="R165" i="4"/>
  <c r="W164" i="4"/>
  <c r="V164" i="4"/>
  <c r="U164" i="4"/>
  <c r="T164" i="4"/>
  <c r="S164" i="4"/>
  <c r="R164" i="4"/>
  <c r="W163" i="4"/>
  <c r="V163" i="4"/>
  <c r="U163" i="4"/>
  <c r="T163" i="4"/>
  <c r="S163" i="4"/>
  <c r="R163" i="4"/>
  <c r="W162" i="4"/>
  <c r="V162" i="4"/>
  <c r="U162" i="4"/>
  <c r="T162" i="4"/>
  <c r="S162" i="4"/>
  <c r="R162" i="4"/>
  <c r="O173" i="4"/>
  <c r="N173" i="4"/>
  <c r="M173" i="4"/>
  <c r="L173" i="4"/>
  <c r="K173" i="4"/>
  <c r="J173" i="4"/>
  <c r="I173" i="4"/>
  <c r="H173" i="4"/>
  <c r="G173" i="4"/>
  <c r="F173" i="4"/>
  <c r="E173" i="4"/>
  <c r="O172" i="4"/>
  <c r="N172" i="4"/>
  <c r="M172" i="4"/>
  <c r="L172" i="4"/>
  <c r="K172" i="4"/>
  <c r="J172" i="4"/>
  <c r="I172" i="4"/>
  <c r="H172" i="4"/>
  <c r="G172" i="4"/>
  <c r="F172" i="4"/>
  <c r="E172" i="4"/>
  <c r="O171" i="4"/>
  <c r="N171" i="4"/>
  <c r="M171" i="4"/>
  <c r="L171" i="4"/>
  <c r="K171" i="4"/>
  <c r="J171" i="4"/>
  <c r="I171" i="4"/>
  <c r="H171" i="4"/>
  <c r="G171" i="4"/>
  <c r="F171" i="4"/>
  <c r="E171" i="4"/>
  <c r="O170" i="4"/>
  <c r="N170" i="4"/>
  <c r="M170" i="4"/>
  <c r="L170" i="4"/>
  <c r="K170" i="4"/>
  <c r="J170" i="4"/>
  <c r="I170" i="4"/>
  <c r="H170" i="4"/>
  <c r="G170" i="4"/>
  <c r="F170" i="4"/>
  <c r="E170" i="4"/>
  <c r="O169" i="4"/>
  <c r="N169" i="4"/>
  <c r="M169" i="4"/>
  <c r="L169" i="4"/>
  <c r="K169" i="4"/>
  <c r="J169" i="4"/>
  <c r="I169" i="4"/>
  <c r="H169" i="4"/>
  <c r="G169" i="4"/>
  <c r="F169" i="4"/>
  <c r="E169" i="4"/>
  <c r="O168" i="4"/>
  <c r="N168" i="4"/>
  <c r="M168" i="4"/>
  <c r="L168" i="4"/>
  <c r="K168" i="4"/>
  <c r="J168" i="4"/>
  <c r="I168" i="4"/>
  <c r="H168" i="4"/>
  <c r="G168" i="4"/>
  <c r="F168" i="4"/>
  <c r="E168" i="4"/>
  <c r="O167" i="4"/>
  <c r="N167" i="4"/>
  <c r="M167" i="4"/>
  <c r="L167" i="4"/>
  <c r="K167" i="4"/>
  <c r="J167" i="4"/>
  <c r="I167" i="4"/>
  <c r="H167" i="4"/>
  <c r="G167" i="4"/>
  <c r="F167" i="4"/>
  <c r="E167" i="4"/>
  <c r="O166" i="4"/>
  <c r="N166" i="4"/>
  <c r="M166" i="4"/>
  <c r="L166" i="4"/>
  <c r="K166" i="4"/>
  <c r="J166" i="4"/>
  <c r="I166" i="4"/>
  <c r="H166" i="4"/>
  <c r="G166" i="4"/>
  <c r="F166" i="4"/>
  <c r="E166" i="4"/>
  <c r="O165" i="4"/>
  <c r="N165" i="4"/>
  <c r="M165" i="4"/>
  <c r="L165" i="4"/>
  <c r="K165" i="4"/>
  <c r="J165" i="4"/>
  <c r="I165" i="4"/>
  <c r="H165" i="4"/>
  <c r="G165" i="4"/>
  <c r="F165" i="4"/>
  <c r="E165" i="4"/>
  <c r="O164" i="4"/>
  <c r="N164" i="4"/>
  <c r="M164" i="4"/>
  <c r="L164" i="4"/>
  <c r="K164" i="4"/>
  <c r="J164" i="4"/>
  <c r="I164" i="4"/>
  <c r="H164" i="4"/>
  <c r="G164" i="4"/>
  <c r="F164" i="4"/>
  <c r="E164" i="4"/>
  <c r="O163" i="4"/>
  <c r="N163" i="4"/>
  <c r="M163" i="4"/>
  <c r="L163" i="4"/>
  <c r="K163" i="4"/>
  <c r="J163" i="4"/>
  <c r="I163" i="4"/>
  <c r="H163" i="4"/>
  <c r="G163" i="4"/>
  <c r="F163" i="4"/>
  <c r="E163" i="4"/>
  <c r="O162" i="4"/>
  <c r="N162" i="4"/>
  <c r="M162" i="4"/>
  <c r="L162" i="4"/>
  <c r="K162" i="4"/>
  <c r="J162" i="4"/>
  <c r="I162" i="4"/>
  <c r="H162" i="4"/>
  <c r="G162" i="4"/>
  <c r="F162" i="4"/>
  <c r="E162" i="4"/>
  <c r="D173" i="4"/>
  <c r="D172" i="4"/>
  <c r="D171" i="4"/>
  <c r="D170" i="4"/>
  <c r="D169" i="4"/>
  <c r="D168" i="4"/>
  <c r="B168" i="4" s="1"/>
  <c r="D167" i="4"/>
  <c r="D166" i="4"/>
  <c r="D165" i="4"/>
  <c r="D164" i="4"/>
  <c r="B164" i="4" s="1"/>
  <c r="D163" i="4"/>
  <c r="D162" i="4"/>
  <c r="W158" i="4"/>
  <c r="V158" i="4"/>
  <c r="U158" i="4"/>
  <c r="T158" i="4"/>
  <c r="S158" i="4"/>
  <c r="R158" i="4"/>
  <c r="W157" i="4"/>
  <c r="V157" i="4"/>
  <c r="U157" i="4"/>
  <c r="T157" i="4"/>
  <c r="S157" i="4"/>
  <c r="R157" i="4"/>
  <c r="W156" i="4"/>
  <c r="V156" i="4"/>
  <c r="U156" i="4"/>
  <c r="T156" i="4"/>
  <c r="S156" i="4"/>
  <c r="R156" i="4"/>
  <c r="W155" i="4"/>
  <c r="V155" i="4"/>
  <c r="U155" i="4"/>
  <c r="T155" i="4"/>
  <c r="S155" i="4"/>
  <c r="R155" i="4"/>
  <c r="W154" i="4"/>
  <c r="V154" i="4"/>
  <c r="U154" i="4"/>
  <c r="T154" i="4"/>
  <c r="S154" i="4"/>
  <c r="R154" i="4"/>
  <c r="W153" i="4"/>
  <c r="V153" i="4"/>
  <c r="U153" i="4"/>
  <c r="T153" i="4"/>
  <c r="S153" i="4"/>
  <c r="R153" i="4"/>
  <c r="W152" i="4"/>
  <c r="V152" i="4"/>
  <c r="U152" i="4"/>
  <c r="T152" i="4"/>
  <c r="S152" i="4"/>
  <c r="R152" i="4"/>
  <c r="W151" i="4"/>
  <c r="V151" i="4"/>
  <c r="U151" i="4"/>
  <c r="T151" i="4"/>
  <c r="S151" i="4"/>
  <c r="R151" i="4"/>
  <c r="W150" i="4"/>
  <c r="V150" i="4"/>
  <c r="U150" i="4"/>
  <c r="T150" i="4"/>
  <c r="S150" i="4"/>
  <c r="R150" i="4"/>
  <c r="W149" i="4"/>
  <c r="V149" i="4"/>
  <c r="U149" i="4"/>
  <c r="T149" i="4"/>
  <c r="S149" i="4"/>
  <c r="R149" i="4"/>
  <c r="W148" i="4"/>
  <c r="V148" i="4"/>
  <c r="U148" i="4"/>
  <c r="T148" i="4"/>
  <c r="S148" i="4"/>
  <c r="R148" i="4"/>
  <c r="W147" i="4"/>
  <c r="V147" i="4"/>
  <c r="U147" i="4"/>
  <c r="T147" i="4"/>
  <c r="S147" i="4"/>
  <c r="R147" i="4"/>
  <c r="O158" i="4"/>
  <c r="N158" i="4"/>
  <c r="M158" i="4"/>
  <c r="L158" i="4"/>
  <c r="K158" i="4"/>
  <c r="J158" i="4"/>
  <c r="I158" i="4"/>
  <c r="H158" i="4"/>
  <c r="G158" i="4"/>
  <c r="F158" i="4"/>
  <c r="E158" i="4"/>
  <c r="O157" i="4"/>
  <c r="N157" i="4"/>
  <c r="M157" i="4"/>
  <c r="L157" i="4"/>
  <c r="K157" i="4"/>
  <c r="J157" i="4"/>
  <c r="I157" i="4"/>
  <c r="H157" i="4"/>
  <c r="G157" i="4"/>
  <c r="F157" i="4"/>
  <c r="E157" i="4"/>
  <c r="O156" i="4"/>
  <c r="N156" i="4"/>
  <c r="M156" i="4"/>
  <c r="L156" i="4"/>
  <c r="K156" i="4"/>
  <c r="J156" i="4"/>
  <c r="I156" i="4"/>
  <c r="H156" i="4"/>
  <c r="G156" i="4"/>
  <c r="F156" i="4"/>
  <c r="E156" i="4"/>
  <c r="O155" i="4"/>
  <c r="N155" i="4"/>
  <c r="M155" i="4"/>
  <c r="L155" i="4"/>
  <c r="K155" i="4"/>
  <c r="J155" i="4"/>
  <c r="I155" i="4"/>
  <c r="H155" i="4"/>
  <c r="G155" i="4"/>
  <c r="F155" i="4"/>
  <c r="E155" i="4"/>
  <c r="O154" i="4"/>
  <c r="N154" i="4"/>
  <c r="M154" i="4"/>
  <c r="L154" i="4"/>
  <c r="K154" i="4"/>
  <c r="J154" i="4"/>
  <c r="I154" i="4"/>
  <c r="H154" i="4"/>
  <c r="G154" i="4"/>
  <c r="F154" i="4"/>
  <c r="E154" i="4"/>
  <c r="O153" i="4"/>
  <c r="N153" i="4"/>
  <c r="M153" i="4"/>
  <c r="L153" i="4"/>
  <c r="K153" i="4"/>
  <c r="J153" i="4"/>
  <c r="I153" i="4"/>
  <c r="H153" i="4"/>
  <c r="G153" i="4"/>
  <c r="F153" i="4"/>
  <c r="E153" i="4"/>
  <c r="O152" i="4"/>
  <c r="N152" i="4"/>
  <c r="M152" i="4"/>
  <c r="L152" i="4"/>
  <c r="K152" i="4"/>
  <c r="J152" i="4"/>
  <c r="I152" i="4"/>
  <c r="H152" i="4"/>
  <c r="G152" i="4"/>
  <c r="F152" i="4"/>
  <c r="E152" i="4"/>
  <c r="O151" i="4"/>
  <c r="N151" i="4"/>
  <c r="M151" i="4"/>
  <c r="L151" i="4"/>
  <c r="K151" i="4"/>
  <c r="J151" i="4"/>
  <c r="I151" i="4"/>
  <c r="H151" i="4"/>
  <c r="G151" i="4"/>
  <c r="F151" i="4"/>
  <c r="E151" i="4"/>
  <c r="O150" i="4"/>
  <c r="N150" i="4"/>
  <c r="M150" i="4"/>
  <c r="L150" i="4"/>
  <c r="K150" i="4"/>
  <c r="J150" i="4"/>
  <c r="I150" i="4"/>
  <c r="H150" i="4"/>
  <c r="G150" i="4"/>
  <c r="F150" i="4"/>
  <c r="E150" i="4"/>
  <c r="O149" i="4"/>
  <c r="N149" i="4"/>
  <c r="M149" i="4"/>
  <c r="L149" i="4"/>
  <c r="K149" i="4"/>
  <c r="J149" i="4"/>
  <c r="I149" i="4"/>
  <c r="H149" i="4"/>
  <c r="G149" i="4"/>
  <c r="F149" i="4"/>
  <c r="E149" i="4"/>
  <c r="O148" i="4"/>
  <c r="N148" i="4"/>
  <c r="M148" i="4"/>
  <c r="L148" i="4"/>
  <c r="K148" i="4"/>
  <c r="J148" i="4"/>
  <c r="I148" i="4"/>
  <c r="H148" i="4"/>
  <c r="G148" i="4"/>
  <c r="F148" i="4"/>
  <c r="E148" i="4"/>
  <c r="O147" i="4"/>
  <c r="N147" i="4"/>
  <c r="M147" i="4"/>
  <c r="L147" i="4"/>
  <c r="K147" i="4"/>
  <c r="J147" i="4"/>
  <c r="I147" i="4"/>
  <c r="H147" i="4"/>
  <c r="G147" i="4"/>
  <c r="F147" i="4"/>
  <c r="E147" i="4"/>
  <c r="D153" i="4"/>
  <c r="D150" i="4"/>
  <c r="D158" i="4"/>
  <c r="D157" i="4"/>
  <c r="D156" i="4"/>
  <c r="D155" i="4"/>
  <c r="D154" i="4"/>
  <c r="D152" i="4"/>
  <c r="D151" i="4"/>
  <c r="D149" i="4"/>
  <c r="D148" i="4"/>
  <c r="D147" i="4"/>
  <c r="C145" i="4"/>
  <c r="O139" i="4"/>
  <c r="M139" i="4"/>
  <c r="O136" i="4"/>
  <c r="M136" i="4"/>
  <c r="E139" i="4"/>
  <c r="E136" i="4"/>
  <c r="D139" i="4"/>
  <c r="D136" i="4"/>
  <c r="Q144" i="4"/>
  <c r="Q143" i="4"/>
  <c r="Q142" i="4"/>
  <c r="Q141" i="4"/>
  <c r="Q140" i="4"/>
  <c r="Q134" i="4"/>
  <c r="Q133" i="4"/>
  <c r="U144" i="4"/>
  <c r="T144" i="4"/>
  <c r="U143" i="4"/>
  <c r="T143" i="4"/>
  <c r="U142" i="4"/>
  <c r="T142" i="4"/>
  <c r="U141" i="4"/>
  <c r="T141" i="4"/>
  <c r="U140" i="4"/>
  <c r="T140" i="4"/>
  <c r="U139" i="4"/>
  <c r="T139" i="4"/>
  <c r="U138" i="4"/>
  <c r="T138" i="4"/>
  <c r="U137" i="4"/>
  <c r="T137" i="4"/>
  <c r="U136" i="4"/>
  <c r="T136" i="4"/>
  <c r="U135" i="4"/>
  <c r="T135" i="4"/>
  <c r="U134" i="4"/>
  <c r="T134" i="4"/>
  <c r="U133" i="4"/>
  <c r="T133" i="4"/>
  <c r="O144" i="4"/>
  <c r="N144" i="4"/>
  <c r="M144" i="4"/>
  <c r="L144" i="4"/>
  <c r="K144" i="4"/>
  <c r="J144" i="4"/>
  <c r="I144" i="4"/>
  <c r="H144" i="4"/>
  <c r="G144" i="4"/>
  <c r="F144" i="4"/>
  <c r="E144" i="4"/>
  <c r="O143" i="4"/>
  <c r="N143" i="4"/>
  <c r="M143" i="4"/>
  <c r="L143" i="4"/>
  <c r="K143" i="4"/>
  <c r="J143" i="4"/>
  <c r="I143" i="4"/>
  <c r="H143" i="4"/>
  <c r="G143" i="4"/>
  <c r="F143" i="4"/>
  <c r="E143" i="4"/>
  <c r="O142" i="4"/>
  <c r="N142" i="4"/>
  <c r="M142" i="4"/>
  <c r="L142" i="4"/>
  <c r="K142" i="4"/>
  <c r="J142" i="4"/>
  <c r="I142" i="4"/>
  <c r="H142" i="4"/>
  <c r="G142" i="4"/>
  <c r="F142" i="4"/>
  <c r="E142" i="4"/>
  <c r="O141" i="4"/>
  <c r="N141" i="4"/>
  <c r="M141" i="4"/>
  <c r="L141" i="4"/>
  <c r="K141" i="4"/>
  <c r="J141" i="4"/>
  <c r="I141" i="4"/>
  <c r="H141" i="4"/>
  <c r="G141" i="4"/>
  <c r="F141" i="4"/>
  <c r="E141" i="4"/>
  <c r="O140" i="4"/>
  <c r="N140" i="4"/>
  <c r="M140" i="4"/>
  <c r="L140" i="4"/>
  <c r="K140" i="4"/>
  <c r="J140" i="4"/>
  <c r="I140" i="4"/>
  <c r="H140" i="4"/>
  <c r="G140" i="4"/>
  <c r="F140" i="4"/>
  <c r="E140" i="4"/>
  <c r="N139" i="4"/>
  <c r="L139" i="4"/>
  <c r="K139" i="4"/>
  <c r="J139" i="4"/>
  <c r="I139" i="4"/>
  <c r="H139" i="4"/>
  <c r="G139" i="4"/>
  <c r="F139" i="4"/>
  <c r="O138" i="4"/>
  <c r="N138" i="4"/>
  <c r="M138" i="4"/>
  <c r="L138" i="4"/>
  <c r="K138" i="4"/>
  <c r="J138" i="4"/>
  <c r="I138" i="4"/>
  <c r="H138" i="4"/>
  <c r="G138" i="4"/>
  <c r="F138" i="4"/>
  <c r="E138" i="4"/>
  <c r="O137" i="4"/>
  <c r="N137" i="4"/>
  <c r="M137" i="4"/>
  <c r="L137" i="4"/>
  <c r="K137" i="4"/>
  <c r="J137" i="4"/>
  <c r="I137" i="4"/>
  <c r="H137" i="4"/>
  <c r="G137" i="4"/>
  <c r="F137" i="4"/>
  <c r="E137" i="4"/>
  <c r="N136" i="4"/>
  <c r="L136" i="4"/>
  <c r="K136" i="4"/>
  <c r="J136" i="4"/>
  <c r="I136" i="4"/>
  <c r="H136" i="4"/>
  <c r="G136" i="4"/>
  <c r="F136" i="4"/>
  <c r="O135" i="4"/>
  <c r="N135" i="4"/>
  <c r="M135" i="4"/>
  <c r="L135" i="4"/>
  <c r="K135" i="4"/>
  <c r="J135" i="4"/>
  <c r="I135" i="4"/>
  <c r="H135" i="4"/>
  <c r="G135" i="4"/>
  <c r="F135" i="4"/>
  <c r="E135" i="4"/>
  <c r="O134" i="4"/>
  <c r="N134" i="4"/>
  <c r="M134" i="4"/>
  <c r="L134" i="4"/>
  <c r="K134" i="4"/>
  <c r="J134" i="4"/>
  <c r="I134" i="4"/>
  <c r="H134" i="4"/>
  <c r="G134" i="4"/>
  <c r="F134" i="4"/>
  <c r="E134" i="4"/>
  <c r="O133" i="4"/>
  <c r="N133" i="4"/>
  <c r="M133" i="4"/>
  <c r="L133" i="4"/>
  <c r="K133" i="4"/>
  <c r="J133" i="4"/>
  <c r="I133" i="4"/>
  <c r="H133" i="4"/>
  <c r="G133" i="4"/>
  <c r="F133" i="4"/>
  <c r="E133" i="4"/>
  <c r="D144" i="4"/>
  <c r="D143" i="4"/>
  <c r="D142" i="4"/>
  <c r="D141" i="4"/>
  <c r="D140" i="4"/>
  <c r="D138" i="4"/>
  <c r="D137" i="4"/>
  <c r="D135" i="4"/>
  <c r="D134" i="4"/>
  <c r="D133" i="4"/>
  <c r="B140" i="4" l="1"/>
  <c r="B170" i="4"/>
  <c r="B172" i="4"/>
  <c r="B165" i="4"/>
  <c r="B173" i="4"/>
  <c r="B163" i="4"/>
  <c r="B162" i="4"/>
  <c r="B139" i="4"/>
  <c r="B171" i="4"/>
  <c r="B166" i="4"/>
  <c r="B167" i="4"/>
  <c r="B169" i="4"/>
  <c r="B134" i="4"/>
  <c r="B155" i="4"/>
  <c r="C155" i="4" s="1"/>
  <c r="B135" i="4"/>
  <c r="B147" i="4"/>
  <c r="C147" i="4" s="1"/>
  <c r="B144" i="4"/>
  <c r="B137" i="4"/>
  <c r="B138" i="4"/>
  <c r="B141" i="4"/>
  <c r="B142" i="4"/>
  <c r="B143" i="4"/>
  <c r="B133" i="4"/>
  <c r="B136" i="4"/>
  <c r="B151" i="4"/>
  <c r="C151" i="4" s="1"/>
  <c r="B150" i="4"/>
  <c r="C150" i="4" s="1"/>
  <c r="B148" i="4"/>
  <c r="C148" i="4" s="1"/>
  <c r="B156" i="4"/>
  <c r="C156" i="4" s="1"/>
  <c r="B157" i="4"/>
  <c r="C157" i="4" s="1"/>
  <c r="B154" i="4"/>
  <c r="C154" i="4" s="1"/>
  <c r="B158" i="4"/>
  <c r="C158" i="4" s="1"/>
  <c r="B152" i="4"/>
  <c r="C152" i="4" s="1"/>
  <c r="B149" i="4"/>
  <c r="C149" i="4" s="1"/>
  <c r="B153" i="4"/>
  <c r="C153" i="4" s="1"/>
  <c r="W129" i="4"/>
  <c r="V129" i="4"/>
  <c r="U129" i="4"/>
  <c r="T129" i="4"/>
  <c r="S129" i="4"/>
  <c r="R129" i="4"/>
  <c r="W128" i="4"/>
  <c r="V128" i="4"/>
  <c r="U128" i="4"/>
  <c r="T128" i="4"/>
  <c r="S128" i="4"/>
  <c r="R128" i="4"/>
  <c r="W127" i="4"/>
  <c r="V127" i="4"/>
  <c r="U127" i="4"/>
  <c r="T127" i="4"/>
  <c r="S127" i="4"/>
  <c r="R127" i="4"/>
  <c r="W126" i="4"/>
  <c r="V126" i="4"/>
  <c r="U126" i="4"/>
  <c r="T126" i="4"/>
  <c r="S126" i="4"/>
  <c r="R126" i="4"/>
  <c r="W125" i="4"/>
  <c r="V125" i="4"/>
  <c r="U125" i="4"/>
  <c r="T125" i="4"/>
  <c r="S125" i="4"/>
  <c r="R125" i="4"/>
  <c r="W124" i="4"/>
  <c r="V124" i="4"/>
  <c r="U124" i="4"/>
  <c r="T124" i="4"/>
  <c r="S124" i="4"/>
  <c r="R124" i="4"/>
  <c r="W123" i="4"/>
  <c r="V123" i="4"/>
  <c r="U123" i="4"/>
  <c r="T123" i="4"/>
  <c r="S123" i="4"/>
  <c r="R123" i="4"/>
  <c r="W122" i="4"/>
  <c r="V122" i="4"/>
  <c r="U122" i="4"/>
  <c r="T122" i="4"/>
  <c r="S122" i="4"/>
  <c r="R122" i="4"/>
  <c r="W121" i="4"/>
  <c r="V121" i="4"/>
  <c r="U121" i="4"/>
  <c r="T121" i="4"/>
  <c r="S121" i="4"/>
  <c r="R121" i="4"/>
  <c r="W120" i="4"/>
  <c r="V120" i="4"/>
  <c r="U120" i="4"/>
  <c r="T120" i="4"/>
  <c r="S120" i="4"/>
  <c r="R120" i="4"/>
  <c r="W119" i="4"/>
  <c r="V119" i="4"/>
  <c r="U119" i="4"/>
  <c r="T119" i="4"/>
  <c r="S119" i="4"/>
  <c r="R119" i="4"/>
  <c r="W118" i="4"/>
  <c r="V118" i="4"/>
  <c r="U118" i="4"/>
  <c r="T118" i="4"/>
  <c r="S118" i="4"/>
  <c r="R118" i="4"/>
  <c r="O129" i="4"/>
  <c r="N129" i="4"/>
  <c r="M129" i="4"/>
  <c r="L129" i="4"/>
  <c r="K129" i="4"/>
  <c r="J129" i="4"/>
  <c r="I129" i="4"/>
  <c r="H129" i="4"/>
  <c r="G129" i="4"/>
  <c r="F129" i="4"/>
  <c r="E129" i="4"/>
  <c r="O128" i="4"/>
  <c r="N128" i="4"/>
  <c r="M128" i="4"/>
  <c r="L128" i="4"/>
  <c r="K128" i="4"/>
  <c r="J128" i="4"/>
  <c r="I128" i="4"/>
  <c r="H128" i="4"/>
  <c r="G128" i="4"/>
  <c r="F128" i="4"/>
  <c r="E128" i="4"/>
  <c r="O127" i="4"/>
  <c r="N127" i="4"/>
  <c r="M127" i="4"/>
  <c r="L127" i="4"/>
  <c r="K127" i="4"/>
  <c r="J127" i="4"/>
  <c r="I127" i="4"/>
  <c r="H127" i="4"/>
  <c r="G127" i="4"/>
  <c r="F127" i="4"/>
  <c r="E127" i="4"/>
  <c r="O126" i="4"/>
  <c r="N126" i="4"/>
  <c r="M126" i="4"/>
  <c r="L126" i="4"/>
  <c r="K126" i="4"/>
  <c r="J126" i="4"/>
  <c r="I126" i="4"/>
  <c r="H126" i="4"/>
  <c r="G126" i="4"/>
  <c r="F126" i="4"/>
  <c r="E126" i="4"/>
  <c r="O125" i="4"/>
  <c r="N125" i="4"/>
  <c r="M125" i="4"/>
  <c r="L125" i="4"/>
  <c r="K125" i="4"/>
  <c r="J125" i="4"/>
  <c r="I125" i="4"/>
  <c r="H125" i="4"/>
  <c r="G125" i="4"/>
  <c r="F125" i="4"/>
  <c r="E125" i="4"/>
  <c r="O124" i="4"/>
  <c r="N124" i="4"/>
  <c r="M124" i="4"/>
  <c r="L124" i="4"/>
  <c r="K124" i="4"/>
  <c r="J124" i="4"/>
  <c r="I124" i="4"/>
  <c r="H124" i="4"/>
  <c r="G124" i="4"/>
  <c r="F124" i="4"/>
  <c r="E124" i="4"/>
  <c r="O123" i="4"/>
  <c r="N123" i="4"/>
  <c r="M123" i="4"/>
  <c r="L123" i="4"/>
  <c r="K123" i="4"/>
  <c r="J123" i="4"/>
  <c r="I123" i="4"/>
  <c r="H123" i="4"/>
  <c r="G123" i="4"/>
  <c r="F123" i="4"/>
  <c r="E123" i="4"/>
  <c r="O122" i="4"/>
  <c r="N122" i="4"/>
  <c r="M122" i="4"/>
  <c r="L122" i="4"/>
  <c r="K122" i="4"/>
  <c r="J122" i="4"/>
  <c r="I122" i="4"/>
  <c r="H122" i="4"/>
  <c r="G122" i="4"/>
  <c r="F122" i="4"/>
  <c r="E122" i="4"/>
  <c r="O121" i="4"/>
  <c r="N121" i="4"/>
  <c r="M121" i="4"/>
  <c r="L121" i="4"/>
  <c r="K121" i="4"/>
  <c r="J121" i="4"/>
  <c r="I121" i="4"/>
  <c r="H121" i="4"/>
  <c r="G121" i="4"/>
  <c r="F121" i="4"/>
  <c r="E121" i="4"/>
  <c r="O120" i="4"/>
  <c r="N120" i="4"/>
  <c r="M120" i="4"/>
  <c r="L120" i="4"/>
  <c r="K120" i="4"/>
  <c r="J120" i="4"/>
  <c r="I120" i="4"/>
  <c r="H120" i="4"/>
  <c r="G120" i="4"/>
  <c r="F120" i="4"/>
  <c r="E120" i="4"/>
  <c r="O119" i="4"/>
  <c r="N119" i="4"/>
  <c r="M119" i="4"/>
  <c r="L119" i="4"/>
  <c r="K119" i="4"/>
  <c r="J119" i="4"/>
  <c r="I119" i="4"/>
  <c r="H119" i="4"/>
  <c r="G119" i="4"/>
  <c r="F119" i="4"/>
  <c r="E119" i="4"/>
  <c r="O118" i="4"/>
  <c r="N118" i="4"/>
  <c r="M118" i="4"/>
  <c r="L118" i="4"/>
  <c r="K118" i="4"/>
  <c r="J118" i="4"/>
  <c r="I118" i="4"/>
  <c r="H118" i="4"/>
  <c r="G118" i="4"/>
  <c r="F118" i="4"/>
  <c r="E118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W99" i="4"/>
  <c r="V99" i="4"/>
  <c r="U99" i="4"/>
  <c r="T99" i="4"/>
  <c r="S99" i="4"/>
  <c r="R99" i="4"/>
  <c r="W98" i="4"/>
  <c r="V98" i="4"/>
  <c r="U98" i="4"/>
  <c r="T98" i="4"/>
  <c r="S98" i="4"/>
  <c r="R98" i="4"/>
  <c r="W97" i="4"/>
  <c r="V97" i="4"/>
  <c r="U97" i="4"/>
  <c r="T97" i="4"/>
  <c r="S97" i="4"/>
  <c r="R97" i="4"/>
  <c r="W96" i="4"/>
  <c r="V96" i="4"/>
  <c r="U96" i="4"/>
  <c r="T96" i="4"/>
  <c r="S96" i="4"/>
  <c r="R96" i="4"/>
  <c r="W95" i="4"/>
  <c r="V95" i="4"/>
  <c r="U95" i="4"/>
  <c r="T95" i="4"/>
  <c r="S95" i="4"/>
  <c r="R95" i="4"/>
  <c r="W94" i="4"/>
  <c r="V94" i="4"/>
  <c r="U94" i="4"/>
  <c r="T94" i="4"/>
  <c r="S94" i="4"/>
  <c r="R94" i="4"/>
  <c r="W93" i="4"/>
  <c r="V93" i="4"/>
  <c r="U93" i="4"/>
  <c r="T93" i="4"/>
  <c r="S93" i="4"/>
  <c r="R93" i="4"/>
  <c r="W92" i="4"/>
  <c r="V92" i="4"/>
  <c r="U92" i="4"/>
  <c r="T92" i="4"/>
  <c r="S92" i="4"/>
  <c r="R92" i="4"/>
  <c r="W91" i="4"/>
  <c r="V91" i="4"/>
  <c r="U91" i="4"/>
  <c r="T91" i="4"/>
  <c r="S91" i="4"/>
  <c r="R91" i="4"/>
  <c r="W90" i="4"/>
  <c r="V90" i="4"/>
  <c r="U90" i="4"/>
  <c r="T90" i="4"/>
  <c r="S90" i="4"/>
  <c r="R90" i="4"/>
  <c r="W89" i="4"/>
  <c r="V89" i="4"/>
  <c r="U89" i="4"/>
  <c r="T89" i="4"/>
  <c r="S89" i="4"/>
  <c r="R89" i="4"/>
  <c r="W88" i="4"/>
  <c r="V88" i="4"/>
  <c r="U88" i="4"/>
  <c r="T88" i="4"/>
  <c r="S88" i="4"/>
  <c r="R88" i="4"/>
  <c r="O99" i="4"/>
  <c r="N99" i="4"/>
  <c r="M99" i="4"/>
  <c r="L99" i="4"/>
  <c r="K99" i="4"/>
  <c r="J99" i="4"/>
  <c r="I99" i="4"/>
  <c r="H99" i="4"/>
  <c r="G99" i="4"/>
  <c r="F99" i="4"/>
  <c r="E99" i="4"/>
  <c r="O98" i="4"/>
  <c r="N98" i="4"/>
  <c r="M98" i="4"/>
  <c r="L98" i="4"/>
  <c r="K98" i="4"/>
  <c r="J98" i="4"/>
  <c r="I98" i="4"/>
  <c r="H98" i="4"/>
  <c r="G98" i="4"/>
  <c r="F98" i="4"/>
  <c r="E98" i="4"/>
  <c r="O97" i="4"/>
  <c r="N97" i="4"/>
  <c r="M97" i="4"/>
  <c r="L97" i="4"/>
  <c r="K97" i="4"/>
  <c r="J97" i="4"/>
  <c r="I97" i="4"/>
  <c r="H97" i="4"/>
  <c r="G97" i="4"/>
  <c r="F97" i="4"/>
  <c r="E97" i="4"/>
  <c r="O96" i="4"/>
  <c r="N96" i="4"/>
  <c r="M96" i="4"/>
  <c r="L96" i="4"/>
  <c r="K96" i="4"/>
  <c r="J96" i="4"/>
  <c r="I96" i="4"/>
  <c r="H96" i="4"/>
  <c r="G96" i="4"/>
  <c r="F96" i="4"/>
  <c r="E96" i="4"/>
  <c r="O95" i="4"/>
  <c r="N95" i="4"/>
  <c r="M95" i="4"/>
  <c r="L95" i="4"/>
  <c r="K95" i="4"/>
  <c r="J95" i="4"/>
  <c r="I95" i="4"/>
  <c r="H95" i="4"/>
  <c r="G95" i="4"/>
  <c r="F95" i="4"/>
  <c r="E95" i="4"/>
  <c r="O94" i="4"/>
  <c r="N94" i="4"/>
  <c r="M94" i="4"/>
  <c r="L94" i="4"/>
  <c r="K94" i="4"/>
  <c r="J94" i="4"/>
  <c r="I94" i="4"/>
  <c r="H94" i="4"/>
  <c r="G94" i="4"/>
  <c r="F94" i="4"/>
  <c r="E94" i="4"/>
  <c r="O93" i="4"/>
  <c r="N93" i="4"/>
  <c r="M93" i="4"/>
  <c r="L93" i="4"/>
  <c r="K93" i="4"/>
  <c r="J93" i="4"/>
  <c r="I93" i="4"/>
  <c r="H93" i="4"/>
  <c r="G93" i="4"/>
  <c r="F93" i="4"/>
  <c r="E93" i="4"/>
  <c r="O92" i="4"/>
  <c r="N92" i="4"/>
  <c r="M92" i="4"/>
  <c r="L92" i="4"/>
  <c r="K92" i="4"/>
  <c r="J92" i="4"/>
  <c r="I92" i="4"/>
  <c r="H92" i="4"/>
  <c r="G92" i="4"/>
  <c r="F92" i="4"/>
  <c r="E92" i="4"/>
  <c r="O91" i="4"/>
  <c r="N91" i="4"/>
  <c r="M91" i="4"/>
  <c r="L91" i="4"/>
  <c r="K91" i="4"/>
  <c r="J91" i="4"/>
  <c r="I91" i="4"/>
  <c r="H91" i="4"/>
  <c r="G91" i="4"/>
  <c r="F91" i="4"/>
  <c r="E91" i="4"/>
  <c r="O90" i="4"/>
  <c r="N90" i="4"/>
  <c r="M90" i="4"/>
  <c r="L90" i="4"/>
  <c r="K90" i="4"/>
  <c r="J90" i="4"/>
  <c r="I90" i="4"/>
  <c r="H90" i="4"/>
  <c r="G90" i="4"/>
  <c r="F90" i="4"/>
  <c r="E90" i="4"/>
  <c r="O89" i="4"/>
  <c r="N89" i="4"/>
  <c r="M89" i="4"/>
  <c r="L89" i="4"/>
  <c r="K89" i="4"/>
  <c r="J89" i="4"/>
  <c r="I89" i="4"/>
  <c r="H89" i="4"/>
  <c r="G89" i="4"/>
  <c r="F89" i="4"/>
  <c r="E89" i="4"/>
  <c r="O88" i="4"/>
  <c r="N88" i="4"/>
  <c r="M88" i="4"/>
  <c r="L88" i="4"/>
  <c r="K88" i="4"/>
  <c r="J88" i="4"/>
  <c r="I88" i="4"/>
  <c r="H88" i="4"/>
  <c r="G88" i="4"/>
  <c r="F88" i="4"/>
  <c r="E88" i="4"/>
  <c r="D99" i="4"/>
  <c r="D98" i="4"/>
  <c r="D97" i="4"/>
  <c r="D96" i="4"/>
  <c r="D95" i="4"/>
  <c r="D94" i="4"/>
  <c r="D93" i="4"/>
  <c r="D92" i="4"/>
  <c r="D91" i="4"/>
  <c r="D90" i="4"/>
  <c r="D89" i="4"/>
  <c r="D88" i="4"/>
  <c r="Q114" i="4"/>
  <c r="Q113" i="4"/>
  <c r="Q112" i="4"/>
  <c r="Q111" i="4"/>
  <c r="Q110" i="4"/>
  <c r="Q104" i="4"/>
  <c r="Q103" i="4"/>
  <c r="P109" i="4"/>
  <c r="P108" i="4"/>
  <c r="P107" i="4"/>
  <c r="P106" i="4"/>
  <c r="P105" i="4"/>
  <c r="W114" i="4"/>
  <c r="V114" i="4"/>
  <c r="U114" i="4"/>
  <c r="T114" i="4"/>
  <c r="S114" i="4"/>
  <c r="R114" i="4"/>
  <c r="W113" i="4"/>
  <c r="V113" i="4"/>
  <c r="U113" i="4"/>
  <c r="T113" i="4"/>
  <c r="S113" i="4"/>
  <c r="R113" i="4"/>
  <c r="W112" i="4"/>
  <c r="V112" i="4"/>
  <c r="U112" i="4"/>
  <c r="T112" i="4"/>
  <c r="S112" i="4"/>
  <c r="R112" i="4"/>
  <c r="W111" i="4"/>
  <c r="V111" i="4"/>
  <c r="U111" i="4"/>
  <c r="T111" i="4"/>
  <c r="S111" i="4"/>
  <c r="R111" i="4"/>
  <c r="W110" i="4"/>
  <c r="V110" i="4"/>
  <c r="U110" i="4"/>
  <c r="T110" i="4"/>
  <c r="S110" i="4"/>
  <c r="R110" i="4"/>
  <c r="W109" i="4"/>
  <c r="V109" i="4"/>
  <c r="U109" i="4"/>
  <c r="T109" i="4"/>
  <c r="S109" i="4"/>
  <c r="R109" i="4"/>
  <c r="W108" i="4"/>
  <c r="V108" i="4"/>
  <c r="U108" i="4"/>
  <c r="T108" i="4"/>
  <c r="S108" i="4"/>
  <c r="R108" i="4"/>
  <c r="W107" i="4"/>
  <c r="V107" i="4"/>
  <c r="U107" i="4"/>
  <c r="T107" i="4"/>
  <c r="S107" i="4"/>
  <c r="R107" i="4"/>
  <c r="W106" i="4"/>
  <c r="V106" i="4"/>
  <c r="U106" i="4"/>
  <c r="T106" i="4"/>
  <c r="S106" i="4"/>
  <c r="R106" i="4"/>
  <c r="W105" i="4"/>
  <c r="V105" i="4"/>
  <c r="U105" i="4"/>
  <c r="T105" i="4"/>
  <c r="S105" i="4"/>
  <c r="R105" i="4"/>
  <c r="W104" i="4"/>
  <c r="V104" i="4"/>
  <c r="U104" i="4"/>
  <c r="T104" i="4"/>
  <c r="S104" i="4"/>
  <c r="R104" i="4"/>
  <c r="W103" i="4"/>
  <c r="V103" i="4"/>
  <c r="U103" i="4"/>
  <c r="T103" i="4"/>
  <c r="S103" i="4"/>
  <c r="R103" i="4"/>
  <c r="O114" i="4"/>
  <c r="N114" i="4"/>
  <c r="M114" i="4"/>
  <c r="L114" i="4"/>
  <c r="K114" i="4"/>
  <c r="J114" i="4"/>
  <c r="I114" i="4"/>
  <c r="H114" i="4"/>
  <c r="G114" i="4"/>
  <c r="F114" i="4"/>
  <c r="E114" i="4"/>
  <c r="O113" i="4"/>
  <c r="N113" i="4"/>
  <c r="M113" i="4"/>
  <c r="L113" i="4"/>
  <c r="K113" i="4"/>
  <c r="J113" i="4"/>
  <c r="I113" i="4"/>
  <c r="H113" i="4"/>
  <c r="G113" i="4"/>
  <c r="F113" i="4"/>
  <c r="E113" i="4"/>
  <c r="O112" i="4"/>
  <c r="N112" i="4"/>
  <c r="M112" i="4"/>
  <c r="L112" i="4"/>
  <c r="K112" i="4"/>
  <c r="J112" i="4"/>
  <c r="I112" i="4"/>
  <c r="H112" i="4"/>
  <c r="G112" i="4"/>
  <c r="F112" i="4"/>
  <c r="E112" i="4"/>
  <c r="O111" i="4"/>
  <c r="N111" i="4"/>
  <c r="M111" i="4"/>
  <c r="L111" i="4"/>
  <c r="K111" i="4"/>
  <c r="J111" i="4"/>
  <c r="I111" i="4"/>
  <c r="H111" i="4"/>
  <c r="G111" i="4"/>
  <c r="F111" i="4"/>
  <c r="E111" i="4"/>
  <c r="O110" i="4"/>
  <c r="N110" i="4"/>
  <c r="M110" i="4"/>
  <c r="L110" i="4"/>
  <c r="K110" i="4"/>
  <c r="J110" i="4"/>
  <c r="I110" i="4"/>
  <c r="H110" i="4"/>
  <c r="G110" i="4"/>
  <c r="F110" i="4"/>
  <c r="E110" i="4"/>
  <c r="O109" i="4"/>
  <c r="N109" i="4"/>
  <c r="M109" i="4"/>
  <c r="L109" i="4"/>
  <c r="K109" i="4"/>
  <c r="J109" i="4"/>
  <c r="I109" i="4"/>
  <c r="H109" i="4"/>
  <c r="G109" i="4"/>
  <c r="F109" i="4"/>
  <c r="E109" i="4"/>
  <c r="O108" i="4"/>
  <c r="N108" i="4"/>
  <c r="M108" i="4"/>
  <c r="L108" i="4"/>
  <c r="K108" i="4"/>
  <c r="J108" i="4"/>
  <c r="I108" i="4"/>
  <c r="H108" i="4"/>
  <c r="G108" i="4"/>
  <c r="F108" i="4"/>
  <c r="E108" i="4"/>
  <c r="O107" i="4"/>
  <c r="N107" i="4"/>
  <c r="M107" i="4"/>
  <c r="L107" i="4"/>
  <c r="K107" i="4"/>
  <c r="J107" i="4"/>
  <c r="I107" i="4"/>
  <c r="H107" i="4"/>
  <c r="G107" i="4"/>
  <c r="F107" i="4"/>
  <c r="E107" i="4"/>
  <c r="O106" i="4"/>
  <c r="N106" i="4"/>
  <c r="M106" i="4"/>
  <c r="L106" i="4"/>
  <c r="K106" i="4"/>
  <c r="J106" i="4"/>
  <c r="I106" i="4"/>
  <c r="H106" i="4"/>
  <c r="G106" i="4"/>
  <c r="F106" i="4"/>
  <c r="E106" i="4"/>
  <c r="O105" i="4"/>
  <c r="N105" i="4"/>
  <c r="M105" i="4"/>
  <c r="L105" i="4"/>
  <c r="K105" i="4"/>
  <c r="J105" i="4"/>
  <c r="I105" i="4"/>
  <c r="H105" i="4"/>
  <c r="G105" i="4"/>
  <c r="F105" i="4"/>
  <c r="E105" i="4"/>
  <c r="O104" i="4"/>
  <c r="N104" i="4"/>
  <c r="M104" i="4"/>
  <c r="L104" i="4"/>
  <c r="K104" i="4"/>
  <c r="J104" i="4"/>
  <c r="I104" i="4"/>
  <c r="H104" i="4"/>
  <c r="G104" i="4"/>
  <c r="F104" i="4"/>
  <c r="E104" i="4"/>
  <c r="O103" i="4"/>
  <c r="N103" i="4"/>
  <c r="M103" i="4"/>
  <c r="L103" i="4"/>
  <c r="K103" i="4"/>
  <c r="J103" i="4"/>
  <c r="I103" i="4"/>
  <c r="H103" i="4"/>
  <c r="G103" i="4"/>
  <c r="F103" i="4"/>
  <c r="E103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C115" i="4"/>
  <c r="Y114" i="4"/>
  <c r="X114" i="4"/>
  <c r="Y113" i="4"/>
  <c r="X113" i="4"/>
  <c r="Y112" i="4"/>
  <c r="X112" i="4"/>
  <c r="C85" i="4"/>
  <c r="X84" i="4"/>
  <c r="X111" i="4" s="1"/>
  <c r="X83" i="4"/>
  <c r="X110" i="4" s="1"/>
  <c r="X82" i="4"/>
  <c r="X109" i="4" s="1"/>
  <c r="X81" i="4"/>
  <c r="X108" i="4" s="1"/>
  <c r="X80" i="4"/>
  <c r="X107" i="4" s="1"/>
  <c r="X79" i="4"/>
  <c r="X106" i="4" s="1"/>
  <c r="X78" i="4"/>
  <c r="X105" i="4" s="1"/>
  <c r="X77" i="4"/>
  <c r="X104" i="4" s="1"/>
  <c r="X76" i="4"/>
  <c r="X103" i="4" s="1"/>
  <c r="X75" i="4"/>
  <c r="X74" i="4"/>
  <c r="X73" i="4"/>
  <c r="P79" i="4"/>
  <c r="P78" i="4"/>
  <c r="P77" i="4"/>
  <c r="P76" i="4"/>
  <c r="P75" i="4"/>
  <c r="Q84" i="4"/>
  <c r="Q83" i="4"/>
  <c r="Q82" i="4"/>
  <c r="Q81" i="4"/>
  <c r="Q80" i="4"/>
  <c r="Q74" i="4"/>
  <c r="Q73" i="4"/>
  <c r="Y84" i="4"/>
  <c r="Y111" i="4" s="1"/>
  <c r="W84" i="4"/>
  <c r="V84" i="4"/>
  <c r="U84" i="4"/>
  <c r="T84" i="4"/>
  <c r="S84" i="4"/>
  <c r="R84" i="4"/>
  <c r="O84" i="4"/>
  <c r="N84" i="4"/>
  <c r="M84" i="4"/>
  <c r="L84" i="4"/>
  <c r="K84" i="4"/>
  <c r="J84" i="4"/>
  <c r="I84" i="4"/>
  <c r="H84" i="4"/>
  <c r="G84" i="4"/>
  <c r="F84" i="4"/>
  <c r="E84" i="4"/>
  <c r="Y83" i="4"/>
  <c r="Y110" i="4" s="1"/>
  <c r="W83" i="4"/>
  <c r="V83" i="4"/>
  <c r="U83" i="4"/>
  <c r="T83" i="4"/>
  <c r="S83" i="4"/>
  <c r="R83" i="4"/>
  <c r="O83" i="4"/>
  <c r="N83" i="4"/>
  <c r="M83" i="4"/>
  <c r="L83" i="4"/>
  <c r="K83" i="4"/>
  <c r="J83" i="4"/>
  <c r="I83" i="4"/>
  <c r="H83" i="4"/>
  <c r="G83" i="4"/>
  <c r="F83" i="4"/>
  <c r="E83" i="4"/>
  <c r="Y82" i="4"/>
  <c r="Y109" i="4" s="1"/>
  <c r="W82" i="4"/>
  <c r="V82" i="4"/>
  <c r="U82" i="4"/>
  <c r="T82" i="4"/>
  <c r="S82" i="4"/>
  <c r="R82" i="4"/>
  <c r="O82" i="4"/>
  <c r="N82" i="4"/>
  <c r="M82" i="4"/>
  <c r="L82" i="4"/>
  <c r="K82" i="4"/>
  <c r="J82" i="4"/>
  <c r="I82" i="4"/>
  <c r="H82" i="4"/>
  <c r="G82" i="4"/>
  <c r="F82" i="4"/>
  <c r="E82" i="4"/>
  <c r="Y81" i="4"/>
  <c r="Y108" i="4" s="1"/>
  <c r="W81" i="4"/>
  <c r="V81" i="4"/>
  <c r="U81" i="4"/>
  <c r="T81" i="4"/>
  <c r="S81" i="4"/>
  <c r="R81" i="4"/>
  <c r="O81" i="4"/>
  <c r="N81" i="4"/>
  <c r="M81" i="4"/>
  <c r="L81" i="4"/>
  <c r="K81" i="4"/>
  <c r="J81" i="4"/>
  <c r="I81" i="4"/>
  <c r="H81" i="4"/>
  <c r="G81" i="4"/>
  <c r="F81" i="4"/>
  <c r="E81" i="4"/>
  <c r="Y80" i="4"/>
  <c r="Y107" i="4" s="1"/>
  <c r="W80" i="4"/>
  <c r="V80" i="4"/>
  <c r="U80" i="4"/>
  <c r="T80" i="4"/>
  <c r="S80" i="4"/>
  <c r="R80" i="4"/>
  <c r="O80" i="4"/>
  <c r="N80" i="4"/>
  <c r="M80" i="4"/>
  <c r="L80" i="4"/>
  <c r="K80" i="4"/>
  <c r="J80" i="4"/>
  <c r="I80" i="4"/>
  <c r="H80" i="4"/>
  <c r="G80" i="4"/>
  <c r="F80" i="4"/>
  <c r="E80" i="4"/>
  <c r="Y79" i="4"/>
  <c r="Y106" i="4" s="1"/>
  <c r="W79" i="4"/>
  <c r="V79" i="4"/>
  <c r="U79" i="4"/>
  <c r="T79" i="4"/>
  <c r="S79" i="4"/>
  <c r="R79" i="4"/>
  <c r="O79" i="4"/>
  <c r="N79" i="4"/>
  <c r="M79" i="4"/>
  <c r="L79" i="4"/>
  <c r="K79" i="4"/>
  <c r="J79" i="4"/>
  <c r="I79" i="4"/>
  <c r="H79" i="4"/>
  <c r="G79" i="4"/>
  <c r="F79" i="4"/>
  <c r="E79" i="4"/>
  <c r="Y78" i="4"/>
  <c r="Y105" i="4" s="1"/>
  <c r="W78" i="4"/>
  <c r="V78" i="4"/>
  <c r="U78" i="4"/>
  <c r="T78" i="4"/>
  <c r="S78" i="4"/>
  <c r="R78" i="4"/>
  <c r="O78" i="4"/>
  <c r="N78" i="4"/>
  <c r="M78" i="4"/>
  <c r="L78" i="4"/>
  <c r="K78" i="4"/>
  <c r="J78" i="4"/>
  <c r="I78" i="4"/>
  <c r="H78" i="4"/>
  <c r="G78" i="4"/>
  <c r="F78" i="4"/>
  <c r="E78" i="4"/>
  <c r="Y77" i="4"/>
  <c r="Y104" i="4" s="1"/>
  <c r="W77" i="4"/>
  <c r="V77" i="4"/>
  <c r="U77" i="4"/>
  <c r="T77" i="4"/>
  <c r="S77" i="4"/>
  <c r="R77" i="4"/>
  <c r="O77" i="4"/>
  <c r="N77" i="4"/>
  <c r="M77" i="4"/>
  <c r="L77" i="4"/>
  <c r="K77" i="4"/>
  <c r="J77" i="4"/>
  <c r="I77" i="4"/>
  <c r="H77" i="4"/>
  <c r="G77" i="4"/>
  <c r="F77" i="4"/>
  <c r="E77" i="4"/>
  <c r="Y76" i="4"/>
  <c r="Y103" i="4" s="1"/>
  <c r="W76" i="4"/>
  <c r="V76" i="4"/>
  <c r="U76" i="4"/>
  <c r="T76" i="4"/>
  <c r="S76" i="4"/>
  <c r="R76" i="4"/>
  <c r="O76" i="4"/>
  <c r="N76" i="4"/>
  <c r="M76" i="4"/>
  <c r="L76" i="4"/>
  <c r="K76" i="4"/>
  <c r="J76" i="4"/>
  <c r="I76" i="4"/>
  <c r="H76" i="4"/>
  <c r="G76" i="4"/>
  <c r="F76" i="4"/>
  <c r="E76" i="4"/>
  <c r="Y75" i="4"/>
  <c r="W75" i="4"/>
  <c r="V75" i="4"/>
  <c r="U75" i="4"/>
  <c r="T75" i="4"/>
  <c r="S75" i="4"/>
  <c r="R75" i="4"/>
  <c r="O75" i="4"/>
  <c r="N75" i="4"/>
  <c r="M75" i="4"/>
  <c r="L75" i="4"/>
  <c r="K75" i="4"/>
  <c r="J75" i="4"/>
  <c r="I75" i="4"/>
  <c r="H75" i="4"/>
  <c r="G75" i="4"/>
  <c r="F75" i="4"/>
  <c r="E75" i="4"/>
  <c r="Y74" i="4"/>
  <c r="W74" i="4"/>
  <c r="V74" i="4"/>
  <c r="U74" i="4"/>
  <c r="T74" i="4"/>
  <c r="S74" i="4"/>
  <c r="R74" i="4"/>
  <c r="O74" i="4"/>
  <c r="N74" i="4"/>
  <c r="M74" i="4"/>
  <c r="L74" i="4"/>
  <c r="K74" i="4"/>
  <c r="J74" i="4"/>
  <c r="I74" i="4"/>
  <c r="H74" i="4"/>
  <c r="G74" i="4"/>
  <c r="F74" i="4"/>
  <c r="E74" i="4"/>
  <c r="Y73" i="4"/>
  <c r="W73" i="4"/>
  <c r="V73" i="4"/>
  <c r="U73" i="4"/>
  <c r="T73" i="4"/>
  <c r="S73" i="4"/>
  <c r="R73" i="4"/>
  <c r="O73" i="4"/>
  <c r="N73" i="4"/>
  <c r="M73" i="4"/>
  <c r="L73" i="4"/>
  <c r="K73" i="4"/>
  <c r="J73" i="4"/>
  <c r="I73" i="4"/>
  <c r="H73" i="4"/>
  <c r="G73" i="4"/>
  <c r="F73" i="4"/>
  <c r="E73" i="4"/>
  <c r="D84" i="4"/>
  <c r="D83" i="4"/>
  <c r="D82" i="4"/>
  <c r="D81" i="4"/>
  <c r="D80" i="4"/>
  <c r="D79" i="4"/>
  <c r="D78" i="4"/>
  <c r="D77" i="4"/>
  <c r="D76" i="4"/>
  <c r="D75" i="4"/>
  <c r="D74" i="4"/>
  <c r="D73" i="4"/>
  <c r="C159" i="4" l="1"/>
  <c r="B125" i="4"/>
  <c r="C125" i="4" s="1"/>
  <c r="B120" i="4"/>
  <c r="C120" i="4" s="1"/>
  <c r="B118" i="4"/>
  <c r="C118" i="4" s="1"/>
  <c r="B119" i="4"/>
  <c r="C119" i="4" s="1"/>
  <c r="B124" i="4"/>
  <c r="C124" i="4" s="1"/>
  <c r="B129" i="4"/>
  <c r="C129" i="4" s="1"/>
  <c r="B127" i="4"/>
  <c r="C127" i="4" s="1"/>
  <c r="B128" i="4"/>
  <c r="C128" i="4" s="1"/>
  <c r="B121" i="4"/>
  <c r="C121" i="4" s="1"/>
  <c r="B122" i="4"/>
  <c r="C122" i="4" s="1"/>
  <c r="B123" i="4"/>
  <c r="C123" i="4" s="1"/>
  <c r="B126" i="4"/>
  <c r="C126" i="4" s="1"/>
  <c r="B105" i="4"/>
  <c r="B104" i="4"/>
  <c r="B106" i="4"/>
  <c r="B108" i="4"/>
  <c r="B109" i="4"/>
  <c r="B110" i="4"/>
  <c r="B111" i="4"/>
  <c r="B114" i="4"/>
  <c r="B113" i="4"/>
  <c r="B103" i="4"/>
  <c r="B107" i="4"/>
  <c r="B112" i="4"/>
  <c r="B92" i="4"/>
  <c r="C92" i="4" s="1"/>
  <c r="B88" i="4"/>
  <c r="C88" i="4" s="1"/>
  <c r="B80" i="4"/>
  <c r="B90" i="4"/>
  <c r="C90" i="4" s="1"/>
  <c r="B99" i="4"/>
  <c r="C99" i="4" s="1"/>
  <c r="B81" i="4"/>
  <c r="B84" i="4"/>
  <c r="B73" i="4"/>
  <c r="B98" i="4"/>
  <c r="C98" i="4" s="1"/>
  <c r="B75" i="4"/>
  <c r="B79" i="4"/>
  <c r="B89" i="4"/>
  <c r="C89" i="4" s="1"/>
  <c r="B82" i="4"/>
  <c r="B93" i="4"/>
  <c r="C93" i="4" s="1"/>
  <c r="B97" i="4"/>
  <c r="C97" i="4" s="1"/>
  <c r="B95" i="4"/>
  <c r="C95" i="4" s="1"/>
  <c r="B96" i="4"/>
  <c r="C96" i="4" s="1"/>
  <c r="B74" i="4"/>
  <c r="B94" i="4"/>
  <c r="C94" i="4" s="1"/>
  <c r="B91" i="4"/>
  <c r="C91" i="4" s="1"/>
  <c r="B77" i="4"/>
  <c r="B78" i="4"/>
  <c r="B76" i="4"/>
  <c r="B83" i="4"/>
  <c r="S229" i="1"/>
  <c r="R229" i="1"/>
  <c r="C100" i="4" l="1"/>
  <c r="C130" i="4"/>
</calcChain>
</file>

<file path=xl/sharedStrings.xml><?xml version="1.0" encoding="utf-8"?>
<sst xmlns="http://schemas.openxmlformats.org/spreadsheetml/2006/main" count="19935" uniqueCount="2575">
  <si>
    <t>NPDES Monitoring Data Download</t>
  </si>
  <si>
    <t>Search Criteria:</t>
  </si>
  <si>
    <t>Monitoring Period Range: 1/01/2007 to 01/01/2020</t>
  </si>
  <si>
    <t>Facility ID: OK0035246</t>
  </si>
  <si>
    <t>Outfall - Monitoring Location - Limit Set: 001 - 1 - A</t>
  </si>
  <si>
    <t>BOD, carbonaceous, 05 day, 20 C</t>
  </si>
  <si>
    <t>Chloride, dissolved in water</t>
  </si>
  <si>
    <t>Coliform, fecal general</t>
  </si>
  <si>
    <t>Dichlorobromomethane</t>
  </si>
  <si>
    <t>Flow, in conduit or thru treatment plant</t>
  </si>
  <si>
    <t>Nitrogen, ammonia total (as N)</t>
  </si>
  <si>
    <t>Oxygen, dissolved (DO)</t>
  </si>
  <si>
    <t>Solids, total dissolved- 180 deg. C</t>
  </si>
  <si>
    <t>Solids, total suspended</t>
  </si>
  <si>
    <t>Zinc, total (as Zn)</t>
  </si>
  <si>
    <t>pH</t>
  </si>
  <si>
    <t>10 mg/L</t>
  </si>
  <si>
    <t>15 mg/L</t>
  </si>
  <si>
    <t>1501.2 lb/d</t>
  </si>
  <si>
    <t>Mon mg/L</t>
  </si>
  <si>
    <t>200 #/100mL</t>
  </si>
  <si>
    <t>400 #/100mL</t>
  </si>
  <si>
    <t>1.55 lb/d</t>
  </si>
  <si>
    <t>10.34 ug/L</t>
  </si>
  <si>
    <t>15.09 ug/L</t>
  </si>
  <si>
    <t>Mon MGD</t>
  </si>
  <si>
    <t>2 mg/L</t>
  </si>
  <si>
    <t>3 mg/L</t>
  </si>
  <si>
    <t>300.2 lb/d</t>
  </si>
  <si>
    <t>4.5 mg/L</t>
  </si>
  <si>
    <t>450.4 lb/d</t>
  </si>
  <si>
    <t>6 mg/L</t>
  </si>
  <si>
    <t>6.5 mg/L</t>
  </si>
  <si>
    <t>22.5 mg/L</t>
  </si>
  <si>
    <t>2251.8 lb/d</t>
  </si>
  <si>
    <t>Mon lb/d</t>
  </si>
  <si>
    <t>Mon ug/L</t>
  </si>
  <si>
    <t>6.5 SU</t>
  </si>
  <si>
    <t>9 SU</t>
  </si>
  <si>
    <t>Mon Pd End Date:</t>
  </si>
  <si>
    <t>30DA AVG</t>
  </si>
  <si>
    <t>MO AVG</t>
  </si>
  <si>
    <t>7 DA AVG</t>
  </si>
  <si>
    <t>WKLY AVG</t>
  </si>
  <si>
    <t>GEO MEAN</t>
  </si>
  <si>
    <t>DAILY MX</t>
  </si>
  <si>
    <t>MINIMUM</t>
  </si>
  <si>
    <t>MAXIMUM</t>
  </si>
  <si>
    <t>01/31/2007</t>
  </si>
  <si>
    <t>3.3</t>
  </si>
  <si>
    <t>4</t>
  </si>
  <si>
    <t>247.4</t>
  </si>
  <si>
    <t>0</t>
  </si>
  <si>
    <t>&lt; .006</t>
  </si>
  <si>
    <t>&lt; .4</t>
  </si>
  <si>
    <t>6.7</t>
  </si>
  <si>
    <t>8.4</t>
  </si>
  <si>
    <t>18.2</t>
  </si>
  <si>
    <t>697.3</t>
  </si>
  <si>
    <t>6.9</t>
  </si>
  <si>
    <t>7.7</t>
  </si>
  <si>
    <t>02/28/2007</t>
  </si>
  <si>
    <t>5.3</t>
  </si>
  <si>
    <t>6.8</t>
  </si>
  <si>
    <t>315.5</t>
  </si>
  <si>
    <t>&lt; .3</t>
  </si>
  <si>
    <t>8.6</t>
  </si>
  <si>
    <t>29</t>
  </si>
  <si>
    <t>40.5</t>
  </si>
  <si>
    <t>1647.4</t>
  </si>
  <si>
    <t>7.1</t>
  </si>
  <si>
    <t>7.5</t>
  </si>
  <si>
    <t>03/31/2007</t>
  </si>
  <si>
    <t>4.8</t>
  </si>
  <si>
    <t>5.2</t>
  </si>
  <si>
    <t>364.2</t>
  </si>
  <si>
    <t>&lt; 8.172</t>
  </si>
  <si>
    <t>12.88</t>
  </si>
  <si>
    <t>&lt; 586.3</t>
  </si>
  <si>
    <t>6.6</t>
  </si>
  <si>
    <t>19.6</t>
  </si>
  <si>
    <t>30.2</t>
  </si>
  <si>
    <t>1458.2</t>
  </si>
  <si>
    <t>04/30/2007</t>
  </si>
  <si>
    <t>4.5</t>
  </si>
  <si>
    <t>399</t>
  </si>
  <si>
    <t>NODI: 9</t>
  </si>
  <si>
    <t>&lt; .206</t>
  </si>
  <si>
    <t>&lt; .406</t>
  </si>
  <si>
    <t>&lt; 17.4</t>
  </si>
  <si>
    <t>6.5</t>
  </si>
  <si>
    <t>30.8</t>
  </si>
  <si>
    <t>54.7</t>
  </si>
  <si>
    <t>2689.7</t>
  </si>
  <si>
    <t>7.9</t>
  </si>
  <si>
    <t>05/31/2007</t>
  </si>
  <si>
    <t>4.1</t>
  </si>
  <si>
    <t>5.6</t>
  </si>
  <si>
    <t>447.7</t>
  </si>
  <si>
    <t>61</t>
  </si>
  <si>
    <t>317</t>
  </si>
  <si>
    <t>&lt; .844</t>
  </si>
  <si>
    <t>2.447</t>
  </si>
  <si>
    <t>&lt; 91.1</t>
  </si>
  <si>
    <t>17.4</t>
  </si>
  <si>
    <t>21.7</t>
  </si>
  <si>
    <t>1983</t>
  </si>
  <si>
    <t>7.4</t>
  </si>
  <si>
    <t>8.3</t>
  </si>
  <si>
    <t>06/30/2007</t>
  </si>
  <si>
    <t>4.2</t>
  </si>
  <si>
    <t>527.5</t>
  </si>
  <si>
    <t>57</t>
  </si>
  <si>
    <t>1068</t>
  </si>
  <si>
    <t>&lt; .639</t>
  </si>
  <si>
    <t>1.632</t>
  </si>
  <si>
    <t>&lt; 79.7</t>
  </si>
  <si>
    <t>8.7</t>
  </si>
  <si>
    <t>14.3</t>
  </si>
  <si>
    <t>23.1</t>
  </si>
  <si>
    <t>1709.2</t>
  </si>
  <si>
    <t>8.5</t>
  </si>
  <si>
    <t>07/31/2007</t>
  </si>
  <si>
    <t>9.6</t>
  </si>
  <si>
    <t>842.5</t>
  </si>
  <si>
    <t>120</t>
  </si>
  <si>
    <t>351</t>
  </si>
  <si>
    <t>5.99</t>
  </si>
  <si>
    <t>9.59</t>
  </si>
  <si>
    <t>726.9</t>
  </si>
  <si>
    <t>34.5</t>
  </si>
  <si>
    <t>91.4</t>
  </si>
  <si>
    <t>3887.5</t>
  </si>
  <si>
    <t>7.6</t>
  </si>
  <si>
    <t>8</t>
  </si>
  <si>
    <t>08/31/2007</t>
  </si>
  <si>
    <t>6.4</t>
  </si>
  <si>
    <t>706.9</t>
  </si>
  <si>
    <t>60</t>
  </si>
  <si>
    <t>316</t>
  </si>
  <si>
    <t>20.8</t>
  </si>
  <si>
    <t>8.788</t>
  </si>
  <si>
    <t>14.868</t>
  </si>
  <si>
    <t>1014.5</t>
  </si>
  <si>
    <t>41</t>
  </si>
  <si>
    <t>70.4</t>
  </si>
  <si>
    <t>4805.7</t>
  </si>
  <si>
    <t>7.3</t>
  </si>
  <si>
    <t>09/30/2007</t>
  </si>
  <si>
    <t>506.3</t>
  </si>
  <si>
    <t>42</t>
  </si>
  <si>
    <t>161</t>
  </si>
  <si>
    <t>1.529</t>
  </si>
  <si>
    <t>3.052</t>
  </si>
  <si>
    <t>135.8</t>
  </si>
  <si>
    <t>10.8</t>
  </si>
  <si>
    <t>11.9</t>
  </si>
  <si>
    <t>970.8</t>
  </si>
  <si>
    <t>7.8</t>
  </si>
  <si>
    <t>10/31/2007</t>
  </si>
  <si>
    <t>5</t>
  </si>
  <si>
    <t>404.8</t>
  </si>
  <si>
    <t>&lt; .5</t>
  </si>
  <si>
    <t>14.8</t>
  </si>
  <si>
    <t>20.1</t>
  </si>
  <si>
    <t>1172</t>
  </si>
  <si>
    <t>11/30/2007</t>
  </si>
  <si>
    <t>4.7</t>
  </si>
  <si>
    <t>337.6</t>
  </si>
  <si>
    <t>&lt; 1.497</t>
  </si>
  <si>
    <t>3.963</t>
  </si>
  <si>
    <t>&lt; 132.2</t>
  </si>
  <si>
    <t>7</t>
  </si>
  <si>
    <t>24.3</t>
  </si>
  <si>
    <t>36</t>
  </si>
  <si>
    <t>1570.4</t>
  </si>
  <si>
    <t>12/31/2007</t>
  </si>
  <si>
    <t>5.8</t>
  </si>
  <si>
    <t>365.3</t>
  </si>
  <si>
    <t>5.991</t>
  </si>
  <si>
    <t>9.8</t>
  </si>
  <si>
    <t>345.2</t>
  </si>
  <si>
    <t>14.2</t>
  </si>
  <si>
    <t>16.2</t>
  </si>
  <si>
    <t>908.7</t>
  </si>
  <si>
    <t>01/31/2008</t>
  </si>
  <si>
    <t>270.6</t>
  </si>
  <si>
    <t>2.73</t>
  </si>
  <si>
    <t>4.978</t>
  </si>
  <si>
    <t>177.6</t>
  </si>
  <si>
    <t>16.3</t>
  </si>
  <si>
    <t>864.3</t>
  </si>
  <si>
    <t>02/29/2008</t>
  </si>
  <si>
    <t>&lt; 3.2</t>
  </si>
  <si>
    <t>4.9</t>
  </si>
  <si>
    <t>&lt; 189.7</t>
  </si>
  <si>
    <t>9.37</t>
  </si>
  <si>
    <t>33.2</t>
  </si>
  <si>
    <t>40.8</t>
  </si>
  <si>
    <t>2168.6</t>
  </si>
  <si>
    <t>03/31/2008</t>
  </si>
  <si>
    <t>4.4</t>
  </si>
  <si>
    <t>346.2</t>
  </si>
  <si>
    <t>&lt; .685</t>
  </si>
  <si>
    <t>1.705</t>
  </si>
  <si>
    <t>&lt; 57.9</t>
  </si>
  <si>
    <t>9</t>
  </si>
  <si>
    <t>48.5</t>
  </si>
  <si>
    <t>2207.3</t>
  </si>
  <si>
    <t>04/30/2008</t>
  </si>
  <si>
    <t>588</t>
  </si>
  <si>
    <t>14.1</t>
  </si>
  <si>
    <t>5.86</t>
  </si>
  <si>
    <t>6.594</t>
  </si>
  <si>
    <t>492.6</t>
  </si>
  <si>
    <t>12.9</t>
  </si>
  <si>
    <t>1082.7</t>
  </si>
  <si>
    <t>05/31/2008</t>
  </si>
  <si>
    <t>363.1</t>
  </si>
  <si>
    <t>188</t>
  </si>
  <si>
    <t>400</t>
  </si>
  <si>
    <t>&lt; 1.403</t>
  </si>
  <si>
    <t>9.786</t>
  </si>
  <si>
    <t>&lt; 122.3</t>
  </si>
  <si>
    <t>12.5</t>
  </si>
  <si>
    <t>36.8</t>
  </si>
  <si>
    <t>967.8</t>
  </si>
  <si>
    <t>06/30/2008</t>
  </si>
  <si>
    <t>7.2</t>
  </si>
  <si>
    <t>308.2</t>
  </si>
  <si>
    <t>130</t>
  </si>
  <si>
    <t>379</t>
  </si>
  <si>
    <t>&lt; .504</t>
  </si>
  <si>
    <t>&lt; 1.501</t>
  </si>
  <si>
    <t>&lt; 27.1</t>
  </si>
  <si>
    <t>12.7</t>
  </si>
  <si>
    <t>14.9</t>
  </si>
  <si>
    <t>882</t>
  </si>
  <si>
    <t>07/31/2008</t>
  </si>
  <si>
    <t>347</t>
  </si>
  <si>
    <t>177</t>
  </si>
  <si>
    <t>883</t>
  </si>
  <si>
    <t>12.932</t>
  </si>
  <si>
    <t>22.904</t>
  </si>
  <si>
    <t>598.3</t>
  </si>
  <si>
    <t>6.1</t>
  </si>
  <si>
    <t>65.5</t>
  </si>
  <si>
    <t>126.7</t>
  </si>
  <si>
    <t>3106.8</t>
  </si>
  <si>
    <t>8.2</t>
  </si>
  <si>
    <t>08/31/2008</t>
  </si>
  <si>
    <t>10</t>
  </si>
  <si>
    <t>11.8</t>
  </si>
  <si>
    <t>1013.9</t>
  </si>
  <si>
    <t>740</t>
  </si>
  <si>
    <t>3860</t>
  </si>
  <si>
    <t>14.928</t>
  </si>
  <si>
    <t>19.566</t>
  </si>
  <si>
    <t>1429</t>
  </si>
  <si>
    <t>22.3</t>
  </si>
  <si>
    <t>29.1</t>
  </si>
  <si>
    <t>1909.8</t>
  </si>
  <si>
    <t>09/30/2008</t>
  </si>
  <si>
    <t>8.9</t>
  </si>
  <si>
    <t>12.2</t>
  </si>
  <si>
    <t>670.4</t>
  </si>
  <si>
    <t>290</t>
  </si>
  <si>
    <t>2191</t>
  </si>
  <si>
    <t>17.753</t>
  </si>
  <si>
    <t>20.094</t>
  </si>
  <si>
    <t>1260.3</t>
  </si>
  <si>
    <t>25.4</t>
  </si>
  <si>
    <t>33.9</t>
  </si>
  <si>
    <t>1864</t>
  </si>
  <si>
    <t>8.1</t>
  </si>
  <si>
    <t>10/31/2008</t>
  </si>
  <si>
    <t>10.2</t>
  </si>
  <si>
    <t>547.9</t>
  </si>
  <si>
    <t>16.819</t>
  </si>
  <si>
    <t>18.774</t>
  </si>
  <si>
    <t>1073.9</t>
  </si>
  <si>
    <t>19.5</t>
  </si>
  <si>
    <t>1285.4</t>
  </si>
  <si>
    <t>11/30/2008</t>
  </si>
  <si>
    <t>6</t>
  </si>
  <si>
    <t>262.8</t>
  </si>
  <si>
    <t>&lt; 4.127</t>
  </si>
  <si>
    <t>16.618</t>
  </si>
  <si>
    <t>&lt; 237.5</t>
  </si>
  <si>
    <t>10.6</t>
  </si>
  <si>
    <t>423.9</t>
  </si>
  <si>
    <t>12/31/2008</t>
  </si>
  <si>
    <t>244.7</t>
  </si>
  <si>
    <t>12.3</t>
  </si>
  <si>
    <t>13.7</t>
  </si>
  <si>
    <t>613.2</t>
  </si>
  <si>
    <t>01/31/2009</t>
  </si>
  <si>
    <t>3.5</t>
  </si>
  <si>
    <t>3.7</t>
  </si>
  <si>
    <t>185</t>
  </si>
  <si>
    <t>7.26</t>
  </si>
  <si>
    <t>9.4</t>
  </si>
  <si>
    <t>481.3</t>
  </si>
  <si>
    <t>02/28/2009</t>
  </si>
  <si>
    <t>3.4</t>
  </si>
  <si>
    <t>3.8</t>
  </si>
  <si>
    <t>201.5</t>
  </si>
  <si>
    <t>12</t>
  </si>
  <si>
    <t>13.3</t>
  </si>
  <si>
    <t>925.5</t>
  </si>
  <si>
    <t>03/31/2009</t>
  </si>
  <si>
    <t>12.6</t>
  </si>
  <si>
    <t>485.8</t>
  </si>
  <si>
    <t>6.78</t>
  </si>
  <si>
    <t>9.838</t>
  </si>
  <si>
    <t>15.932</t>
  </si>
  <si>
    <t>617</t>
  </si>
  <si>
    <t>18.1</t>
  </si>
  <si>
    <t>20.7</t>
  </si>
  <si>
    <t>1034.8</t>
  </si>
  <si>
    <t>04/30/2009</t>
  </si>
  <si>
    <t>10.7</t>
  </si>
  <si>
    <t>11.1</t>
  </si>
  <si>
    <t>664.6</t>
  </si>
  <si>
    <t>17.92</t>
  </si>
  <si>
    <t>18.527</t>
  </si>
  <si>
    <t>1165.8</t>
  </si>
  <si>
    <t>25</t>
  </si>
  <si>
    <t>27.6</t>
  </si>
  <si>
    <t>1602.2</t>
  </si>
  <si>
    <t>05/31/2009</t>
  </si>
  <si>
    <t>9.7</t>
  </si>
  <si>
    <t>720.3</t>
  </si>
  <si>
    <t>273</t>
  </si>
  <si>
    <t>5495</t>
  </si>
  <si>
    <t>10.522</t>
  </si>
  <si>
    <t>16.632</t>
  </si>
  <si>
    <t>702.2</t>
  </si>
  <si>
    <t>21.8</t>
  </si>
  <si>
    <t>26.9</t>
  </si>
  <si>
    <t>1644.3</t>
  </si>
  <si>
    <t>06/30/2009</t>
  </si>
  <si>
    <t>278.8</t>
  </si>
  <si>
    <t>1063</t>
  </si>
  <si>
    <t>2106</t>
  </si>
  <si>
    <t>.43</t>
  </si>
  <si>
    <t>5.73</t>
  </si>
  <si>
    <t>14.6</t>
  </si>
  <si>
    <t>933.7</t>
  </si>
  <si>
    <t>07/31/2009</t>
  </si>
  <si>
    <t>265.1</t>
  </si>
  <si>
    <t>152</t>
  </si>
  <si>
    <t>2417</t>
  </si>
  <si>
    <t>&lt; .024</t>
  </si>
  <si>
    <t>.063</t>
  </si>
  <si>
    <t>&lt; 1.8</t>
  </si>
  <si>
    <t>9.9</t>
  </si>
  <si>
    <t>12.4</t>
  </si>
  <si>
    <t>752.9</t>
  </si>
  <si>
    <t>08/31/2009</t>
  </si>
  <si>
    <t>286.8</t>
  </si>
  <si>
    <t>54</t>
  </si>
  <si>
    <t>63</t>
  </si>
  <si>
    <t>1.9</t>
  </si>
  <si>
    <t>142.1</t>
  </si>
  <si>
    <t>542.4</t>
  </si>
  <si>
    <t>09/30/2009</t>
  </si>
  <si>
    <t>&lt; 3.1</t>
  </si>
  <si>
    <t>2.6</t>
  </si>
  <si>
    <t>&lt; 224.2</t>
  </si>
  <si>
    <t>32</t>
  </si>
  <si>
    <t>.9</t>
  </si>
  <si>
    <t>.4</t>
  </si>
  <si>
    <t>67.1</t>
  </si>
  <si>
    <t>9.1</t>
  </si>
  <si>
    <t>678.5</t>
  </si>
  <si>
    <t>10/31/2009</t>
  </si>
  <si>
    <t>&lt; 2.4</t>
  </si>
  <si>
    <t>2.7</t>
  </si>
  <si>
    <t>&lt; 171.5</t>
  </si>
  <si>
    <t>.3</t>
  </si>
  <si>
    <t>.7</t>
  </si>
  <si>
    <t>21.5</t>
  </si>
  <si>
    <t>9.5</t>
  </si>
  <si>
    <t>597.4</t>
  </si>
  <si>
    <t>11/30/2009</t>
  </si>
  <si>
    <t>3.2</t>
  </si>
  <si>
    <t>216.4</t>
  </si>
  <si>
    <t>9.2</t>
  </si>
  <si>
    <t>.139</t>
  </si>
  <si>
    <t>.171</t>
  </si>
  <si>
    <t>9.3</t>
  </si>
  <si>
    <t>11.3</t>
  </si>
  <si>
    <t>650.3</t>
  </si>
  <si>
    <t>12/31/2009</t>
  </si>
  <si>
    <t>&lt; 180.4</t>
  </si>
  <si>
    <t>7.87</t>
  </si>
  <si>
    <t>.817</t>
  </si>
  <si>
    <t>.294</t>
  </si>
  <si>
    <t>48.4</t>
  </si>
  <si>
    <t>10.3</t>
  </si>
  <si>
    <t>576</t>
  </si>
  <si>
    <t>01/31/2010</t>
  </si>
  <si>
    <t>5.5</t>
  </si>
  <si>
    <t>339.2</t>
  </si>
  <si>
    <t>2.081</t>
  </si>
  <si>
    <t>142</t>
  </si>
  <si>
    <t>14.4</t>
  </si>
  <si>
    <t>891.7</t>
  </si>
  <si>
    <t>2</t>
  </si>
  <si>
    <t>34</t>
  </si>
  <si>
    <t>02/28/2010</t>
  </si>
  <si>
    <t>598.7</t>
  </si>
  <si>
    <t>5.054</t>
  </si>
  <si>
    <t>6.135</t>
  </si>
  <si>
    <t>381.9</t>
  </si>
  <si>
    <t>16.5</t>
  </si>
  <si>
    <t>20.5</t>
  </si>
  <si>
    <t>1273.1</t>
  </si>
  <si>
    <t>23</t>
  </si>
  <si>
    <t>03/31/2010</t>
  </si>
  <si>
    <t>575.2</t>
  </si>
  <si>
    <t>1.361</t>
  </si>
  <si>
    <t>3.745</t>
  </si>
  <si>
    <t>100.3</t>
  </si>
  <si>
    <t>17</t>
  </si>
  <si>
    <t>1205.8</t>
  </si>
  <si>
    <t>04/30/2010</t>
  </si>
  <si>
    <t>538.7</t>
  </si>
  <si>
    <t>.2</t>
  </si>
  <si>
    <t>.5</t>
  </si>
  <si>
    <t>16.1</t>
  </si>
  <si>
    <t>15.7</t>
  </si>
  <si>
    <t>18</t>
  </si>
  <si>
    <t>1311.4</t>
  </si>
  <si>
    <t>22</t>
  </si>
  <si>
    <t>05/31/2010</t>
  </si>
  <si>
    <t>300.5</t>
  </si>
  <si>
    <t>.1</t>
  </si>
  <si>
    <t>8.8</t>
  </si>
  <si>
    <t>11.5</t>
  </si>
  <si>
    <t>797</t>
  </si>
  <si>
    <t>06/30/2010</t>
  </si>
  <si>
    <t>15</t>
  </si>
  <si>
    <t>267.5</t>
  </si>
  <si>
    <t>13</t>
  </si>
  <si>
    <t>11.2</t>
  </si>
  <si>
    <t>765.8</t>
  </si>
  <si>
    <t>07/31/2010</t>
  </si>
  <si>
    <t>3.1</t>
  </si>
  <si>
    <t>275.1</t>
  </si>
  <si>
    <t>14</t>
  </si>
  <si>
    <t>31</t>
  </si>
  <si>
    <t>10.9</t>
  </si>
  <si>
    <t>1026.1</t>
  </si>
  <si>
    <t>08/31/2010</t>
  </si>
  <si>
    <t>319</t>
  </si>
  <si>
    <t>28</t>
  </si>
  <si>
    <t>86</t>
  </si>
  <si>
    <t>1.8</t>
  </si>
  <si>
    <t>4.3</t>
  </si>
  <si>
    <t>134.3</t>
  </si>
  <si>
    <t>12.1</t>
  </si>
  <si>
    <t>645</t>
  </si>
  <si>
    <t>09/30/2010</t>
  </si>
  <si>
    <t>303.6</t>
  </si>
  <si>
    <t>39</t>
  </si>
  <si>
    <t>33</t>
  </si>
  <si>
    <t>574.4</t>
  </si>
  <si>
    <t>10/31/2010</t>
  </si>
  <si>
    <t>266.1</t>
  </si>
  <si>
    <t>3.6</t>
  </si>
  <si>
    <t>496</t>
  </si>
  <si>
    <t>27</t>
  </si>
  <si>
    <t>11/30/2010</t>
  </si>
  <si>
    <t>200.8</t>
  </si>
  <si>
    <t>.065</t>
  </si>
  <si>
    <t>.055</t>
  </si>
  <si>
    <t>10.1</t>
  </si>
  <si>
    <t>471.1</t>
  </si>
  <si>
    <t>12/31/2010</t>
  </si>
  <si>
    <t>201.4</t>
  </si>
  <si>
    <t>7.25</t>
  </si>
  <si>
    <t>.441</t>
  </si>
  <si>
    <t>1.04</t>
  </si>
  <si>
    <t>17.9</t>
  </si>
  <si>
    <t>10.4</t>
  </si>
  <si>
    <t>458.9</t>
  </si>
  <si>
    <t>1</t>
  </si>
  <si>
    <t>24</t>
  </si>
  <si>
    <t>01/31/2011</t>
  </si>
  <si>
    <t>184.6</t>
  </si>
  <si>
    <t>.689</t>
  </si>
  <si>
    <t>22.2</t>
  </si>
  <si>
    <t>344.5</t>
  </si>
  <si>
    <t>02/28/2011</t>
  </si>
  <si>
    <t>366.4</t>
  </si>
  <si>
    <t>1.384</t>
  </si>
  <si>
    <t>2.137</t>
  </si>
  <si>
    <t>81.9</t>
  </si>
  <si>
    <t>21.1</t>
  </si>
  <si>
    <t>32.2</t>
  </si>
  <si>
    <t>1211.8</t>
  </si>
  <si>
    <t>03/31/2011</t>
  </si>
  <si>
    <t>259.1</t>
  </si>
  <si>
    <t>1.704</t>
  </si>
  <si>
    <t>104</t>
  </si>
  <si>
    <t>17.2</t>
  </si>
  <si>
    <t>16.9</t>
  </si>
  <si>
    <t>1037.2</t>
  </si>
  <si>
    <t>04/30/2011</t>
  </si>
  <si>
    <t>3.9</t>
  </si>
  <si>
    <t>&lt; 204.2</t>
  </si>
  <si>
    <t>28.8</t>
  </si>
  <si>
    <t>1028</t>
  </si>
  <si>
    <t>05/31/2011</t>
  </si>
  <si>
    <t>&lt; 2.5</t>
  </si>
  <si>
    <t>&lt; 198.7</t>
  </si>
  <si>
    <t>83</t>
  </si>
  <si>
    <t>143</t>
  </si>
  <si>
    <t>12.38</t>
  </si>
  <si>
    <t>6.3</t>
  </si>
  <si>
    <t>459.2</t>
  </si>
  <si>
    <t>06/30/2011</t>
  </si>
  <si>
    <t>&lt; 2.7</t>
  </si>
  <si>
    <t>2.8</t>
  </si>
  <si>
    <t>&lt; 217.2</t>
  </si>
  <si>
    <t>58</t>
  </si>
  <si>
    <t>65</t>
  </si>
  <si>
    <t>&lt; .1</t>
  </si>
  <si>
    <t>&lt; 8.9</t>
  </si>
  <si>
    <t>5.1</t>
  </si>
  <si>
    <t>354.2</t>
  </si>
  <si>
    <t>07/31/2011</t>
  </si>
  <si>
    <t>&lt; 2.1</t>
  </si>
  <si>
    <t>&lt; 2.2</t>
  </si>
  <si>
    <t>&lt; 125.4</t>
  </si>
  <si>
    <t>59</t>
  </si>
  <si>
    <t>92</t>
  </si>
  <si>
    <t>.03</t>
  </si>
  <si>
    <t>1.76</t>
  </si>
  <si>
    <t>4.6</t>
  </si>
  <si>
    <t>270.5</t>
  </si>
  <si>
    <t>08/31/2011</t>
  </si>
  <si>
    <t>&lt; 2.8</t>
  </si>
  <si>
    <t>&lt; 223.7</t>
  </si>
  <si>
    <t>380</t>
  </si>
  <si>
    <t>1108</t>
  </si>
  <si>
    <t>.07</t>
  </si>
  <si>
    <t>.11</t>
  </si>
  <si>
    <t>6.09</t>
  </si>
  <si>
    <t>529.5</t>
  </si>
  <si>
    <t>09/30/2011</t>
  </si>
  <si>
    <t>2.5</t>
  </si>
  <si>
    <t>2.9</t>
  </si>
  <si>
    <t>198.9</t>
  </si>
  <si>
    <t>94</t>
  </si>
  <si>
    <t>153</t>
  </si>
  <si>
    <t>2.15</t>
  </si>
  <si>
    <t>329.5</t>
  </si>
  <si>
    <t>10/31/2011</t>
  </si>
  <si>
    <t>&lt; 186</t>
  </si>
  <si>
    <t>.047</t>
  </si>
  <si>
    <t>.064</t>
  </si>
  <si>
    <t>416.1</t>
  </si>
  <si>
    <t>11/30/2011</t>
  </si>
  <si>
    <t>&lt; 2.6</t>
  </si>
  <si>
    <t>&lt; 187.1</t>
  </si>
  <si>
    <t>.078</t>
  </si>
  <si>
    <t>.109</t>
  </si>
  <si>
    <t>5.7</t>
  </si>
  <si>
    <t>317.1</t>
  </si>
  <si>
    <t>12/31/2011</t>
  </si>
  <si>
    <t>&lt; 182.1</t>
  </si>
  <si>
    <t>.043</t>
  </si>
  <si>
    <t>.06</t>
  </si>
  <si>
    <t>341.1</t>
  </si>
  <si>
    <t>01/31/2012</t>
  </si>
  <si>
    <t>212.92</t>
  </si>
  <si>
    <t>110</t>
  </si>
  <si>
    <t>.044</t>
  </si>
  <si>
    <t>.059</t>
  </si>
  <si>
    <t>763</t>
  </si>
  <si>
    <t>457.9</t>
  </si>
  <si>
    <t>02/29/2012</t>
  </si>
  <si>
    <t>243.88</t>
  </si>
  <si>
    <t>115</t>
  </si>
  <si>
    <t>.072</t>
  </si>
  <si>
    <t>.356</t>
  </si>
  <si>
    <t>766</t>
  </si>
  <si>
    <t>634.4</t>
  </si>
  <si>
    <t>03/31/2012</t>
  </si>
  <si>
    <t>&lt; 247.69</t>
  </si>
  <si>
    <t>119</t>
  </si>
  <si>
    <t>12.47</t>
  </si>
  <si>
    <t>&lt; .052</t>
  </si>
  <si>
    <t>&lt; .077</t>
  </si>
  <si>
    <t>&lt; 4.5</t>
  </si>
  <si>
    <t>813</t>
  </si>
  <si>
    <t>642.3</t>
  </si>
  <si>
    <t>04/30/2012</t>
  </si>
  <si>
    <t>&lt; 226.74</t>
  </si>
  <si>
    <t>105</t>
  </si>
  <si>
    <t>.197</t>
  </si>
  <si>
    <t>&lt; 4.7</t>
  </si>
  <si>
    <t>429.5</t>
  </si>
  <si>
    <t>05/31/2012</t>
  </si>
  <si>
    <t>&lt; 167.53</t>
  </si>
  <si>
    <t>108</t>
  </si>
  <si>
    <t>96.1</t>
  </si>
  <si>
    <t>&lt; .034</t>
  </si>
  <si>
    <t>.042</t>
  </si>
  <si>
    <t>778</t>
  </si>
  <si>
    <t>362.3</t>
  </si>
  <si>
    <t>06/30/2012</t>
  </si>
  <si>
    <t>&lt; 169.96</t>
  </si>
  <si>
    <t>118</t>
  </si>
  <si>
    <t>43.5</t>
  </si>
  <si>
    <t>430</t>
  </si>
  <si>
    <t>&lt; .023</t>
  </si>
  <si>
    <t>.029</t>
  </si>
  <si>
    <t>&lt; 1.7</t>
  </si>
  <si>
    <t>765</t>
  </si>
  <si>
    <t>347.7</t>
  </si>
  <si>
    <t>07/31/2012</t>
  </si>
  <si>
    <t>&lt; 176.13</t>
  </si>
  <si>
    <t>113</t>
  </si>
  <si>
    <t>35.6</t>
  </si>
  <si>
    <t>&lt; .038</t>
  </si>
  <si>
    <t>&lt; .056</t>
  </si>
  <si>
    <t>&lt; 3</t>
  </si>
  <si>
    <t>779</t>
  </si>
  <si>
    <t>338.3</t>
  </si>
  <si>
    <t>08/31/2012</t>
  </si>
  <si>
    <t>&lt; 203</t>
  </si>
  <si>
    <t>124</t>
  </si>
  <si>
    <t>33.3</t>
  </si>
  <si>
    <t>69</t>
  </si>
  <si>
    <t>.04</t>
  </si>
  <si>
    <t>.052</t>
  </si>
  <si>
    <t>757</t>
  </si>
  <si>
    <t>415.3</t>
  </si>
  <si>
    <t>09/30/2012</t>
  </si>
  <si>
    <t>2.3</t>
  </si>
  <si>
    <t>&lt; 165.99</t>
  </si>
  <si>
    <t>39.6</t>
  </si>
  <si>
    <t>196</t>
  </si>
  <si>
    <t>&lt; .029</t>
  </si>
  <si>
    <t>.037</t>
  </si>
  <si>
    <t>725</t>
  </si>
  <si>
    <t>&lt; 3.6</t>
  </si>
  <si>
    <t>&lt; 276.4</t>
  </si>
  <si>
    <t>10/31/2012</t>
  </si>
  <si>
    <t>&lt; 3.3</t>
  </si>
  <si>
    <t>&lt; 134.92</t>
  </si>
  <si>
    <t>.056</t>
  </si>
  <si>
    <t>753</t>
  </si>
  <si>
    <t>&lt; 4.9</t>
  </si>
  <si>
    <t>&lt; 11.1</t>
  </si>
  <si>
    <t>&lt; 278.3</t>
  </si>
  <si>
    <t>11/30/2012</t>
  </si>
  <si>
    <t>&lt; 2.3</t>
  </si>
  <si>
    <t>&lt; 137.63</t>
  </si>
  <si>
    <t>.068</t>
  </si>
  <si>
    <t>758</t>
  </si>
  <si>
    <t>265.6</t>
  </si>
  <si>
    <t>12/31/2012</t>
  </si>
  <si>
    <t>&lt; 3.4</t>
  </si>
  <si>
    <t>&lt; 198.51</t>
  </si>
  <si>
    <t>125</t>
  </si>
  <si>
    <t>&lt; .072</t>
  </si>
  <si>
    <t>.076</t>
  </si>
  <si>
    <t>&lt; 4.3</t>
  </si>
  <si>
    <t>793</t>
  </si>
  <si>
    <t>11.4</t>
  </si>
  <si>
    <t>547.6</t>
  </si>
  <si>
    <t>01/31/2013</t>
  </si>
  <si>
    <t>5.34</t>
  </si>
  <si>
    <t>389</t>
  </si>
  <si>
    <t>491.2</t>
  </si>
  <si>
    <t>02/28/2013</t>
  </si>
  <si>
    <t>&lt; 3.54</t>
  </si>
  <si>
    <t>&lt; 265.9</t>
  </si>
  <si>
    <t>.069</t>
  </si>
  <si>
    <t>.089</t>
  </si>
  <si>
    <t>314.5</t>
  </si>
  <si>
    <t>03/31/2013</t>
  </si>
  <si>
    <t>&lt; 2.42</t>
  </si>
  <si>
    <t>&lt; 179.5</t>
  </si>
  <si>
    <t>.054</t>
  </si>
  <si>
    <t>&lt; 3.9</t>
  </si>
  <si>
    <t>&lt; 289.2</t>
  </si>
  <si>
    <t>04/30/2013</t>
  </si>
  <si>
    <t>&lt; 2.03</t>
  </si>
  <si>
    <t>&lt; 168.2</t>
  </si>
  <si>
    <t>&lt; 4.1</t>
  </si>
  <si>
    <t>&lt; 329.3</t>
  </si>
  <si>
    <t>05/31/2013</t>
  </si>
  <si>
    <t>2.4</t>
  </si>
  <si>
    <t>&lt; 182.4</t>
  </si>
  <si>
    <t>&lt; 12</t>
  </si>
  <si>
    <t>.045</t>
  </si>
  <si>
    <t>530.1</t>
  </si>
  <si>
    <t>06/30/2013</t>
  </si>
  <si>
    <t>&lt; 183.2</t>
  </si>
  <si>
    <t>.073</t>
  </si>
  <si>
    <t>.123</t>
  </si>
  <si>
    <t>5.9</t>
  </si>
  <si>
    <t>396.3</t>
  </si>
  <si>
    <t>07/31/2013</t>
  </si>
  <si>
    <t>2.2</t>
  </si>
  <si>
    <t>&lt; 170.3</t>
  </si>
  <si>
    <t>40</t>
  </si>
  <si>
    <t>199</t>
  </si>
  <si>
    <t>11.6</t>
  </si>
  <si>
    <t>.094</t>
  </si>
  <si>
    <t>.14</t>
  </si>
  <si>
    <t>363.8</t>
  </si>
  <si>
    <t>08/31/2013</t>
  </si>
  <si>
    <t>&lt; 166.2</t>
  </si>
  <si>
    <t>70</t>
  </si>
  <si>
    <t>&lt; .108</t>
  </si>
  <si>
    <t>.178</t>
  </si>
  <si>
    <t>&lt; 9</t>
  </si>
  <si>
    <t>6.2</t>
  </si>
  <si>
    <t>488.5</t>
  </si>
  <si>
    <t>09/30/2013</t>
  </si>
  <si>
    <t>&lt; 2</t>
  </si>
  <si>
    <t>&lt; 150</t>
  </si>
  <si>
    <t>19</t>
  </si>
  <si>
    <t>26</t>
  </si>
  <si>
    <t>&lt; .061</t>
  </si>
  <si>
    <t>.088</t>
  </si>
  <si>
    <t>334</t>
  </si>
  <si>
    <t>10/31/2013</t>
  </si>
  <si>
    <t>&lt; 2.23</t>
  </si>
  <si>
    <t>&lt; 149</t>
  </si>
  <si>
    <t>524.9</t>
  </si>
  <si>
    <t>11/30/2013</t>
  </si>
  <si>
    <t>&lt; 2.85</t>
  </si>
  <si>
    <t>&lt; 173.3</t>
  </si>
  <si>
    <t>7.29</t>
  </si>
  <si>
    <t>&lt; .049</t>
  </si>
  <si>
    <t>.066</t>
  </si>
  <si>
    <t>&lt; 2.9</t>
  </si>
  <si>
    <t>15.8</t>
  </si>
  <si>
    <t>743</t>
  </si>
  <si>
    <t>12/31/2013</t>
  </si>
  <si>
    <t>&lt; 2.45</t>
  </si>
  <si>
    <t>&lt; 147.3</t>
  </si>
  <si>
    <t>7.18</t>
  </si>
  <si>
    <t>&lt; .041</t>
  </si>
  <si>
    <t>&lt; .068</t>
  </si>
  <si>
    <t>444.5</t>
  </si>
  <si>
    <t>01/31/2014</t>
  </si>
  <si>
    <t>2.66</t>
  </si>
  <si>
    <t>3</t>
  </si>
  <si>
    <t>168.1</t>
  </si>
  <si>
    <t>&lt; .299</t>
  </si>
  <si>
    <t>.486</t>
  </si>
  <si>
    <t>&lt; 18.5</t>
  </si>
  <si>
    <t>394</t>
  </si>
  <si>
    <t>02/28/2014</t>
  </si>
  <si>
    <t>3.38</t>
  </si>
  <si>
    <t>3.97</t>
  </si>
  <si>
    <t>177.649</t>
  </si>
  <si>
    <t>.1401</t>
  </si>
  <si>
    <t>.1606</t>
  </si>
  <si>
    <t>7.2679</t>
  </si>
  <si>
    <t>7.22</t>
  </si>
  <si>
    <t>10.5</t>
  </si>
  <si>
    <t>388.57</t>
  </si>
  <si>
    <t>03/31/2014</t>
  </si>
  <si>
    <t>4.71</t>
  </si>
  <si>
    <t>166.7</t>
  </si>
  <si>
    <t>.153</t>
  </si>
  <si>
    <t>.235</t>
  </si>
  <si>
    <t>13.2</t>
  </si>
  <si>
    <t>15.6</t>
  </si>
  <si>
    <t>470.9</t>
  </si>
  <si>
    <t>04/30/2014</t>
  </si>
  <si>
    <t>3.17</t>
  </si>
  <si>
    <t>221</t>
  </si>
  <si>
    <t>.084</t>
  </si>
  <si>
    <t>674</t>
  </si>
  <si>
    <t>05/31/2014</t>
  </si>
  <si>
    <t>&lt; 117</t>
  </si>
  <si>
    <t>147</t>
  </si>
  <si>
    <t>7.01</t>
  </si>
  <si>
    <t>.067</t>
  </si>
  <si>
    <t>&lt; 206.6</t>
  </si>
  <si>
    <t>06/30/2014</t>
  </si>
  <si>
    <t>&lt; 3.7</t>
  </si>
  <si>
    <t>5.4</t>
  </si>
  <si>
    <t>&lt; 290.9</t>
  </si>
  <si>
    <t>52</t>
  </si>
  <si>
    <t>206</t>
  </si>
  <si>
    <t>.193</t>
  </si>
  <si>
    <t>.309</t>
  </si>
  <si>
    <t>15.2</t>
  </si>
  <si>
    <t>16.6</t>
  </si>
  <si>
    <t>880.3</t>
  </si>
  <si>
    <t>07/31/2014</t>
  </si>
  <si>
    <t>&lt; 154.3</t>
  </si>
  <si>
    <t>37</t>
  </si>
  <si>
    <t>.091</t>
  </si>
  <si>
    <t>502.3</t>
  </si>
  <si>
    <t>08/31/2014</t>
  </si>
  <si>
    <t>127.1</t>
  </si>
  <si>
    <t>.15</t>
  </si>
  <si>
    <t>14.7</t>
  </si>
  <si>
    <t>498.4</t>
  </si>
  <si>
    <t>09/30/2014</t>
  </si>
  <si>
    <t>&lt; 129.7</t>
  </si>
  <si>
    <t>47</t>
  </si>
  <si>
    <t>368</t>
  </si>
  <si>
    <t>6.86</t>
  </si>
  <si>
    <t>.233</t>
  </si>
  <si>
    <t>.604</t>
  </si>
  <si>
    <t>527</t>
  </si>
  <si>
    <t>10/31/2014</t>
  </si>
  <si>
    <t>&lt; 3.25</t>
  </si>
  <si>
    <t>&lt; 125.1</t>
  </si>
  <si>
    <t>4.58</t>
  </si>
  <si>
    <t>.217</t>
  </si>
  <si>
    <t>.438</t>
  </si>
  <si>
    <t>501.8</t>
  </si>
  <si>
    <t>11/30/2014</t>
  </si>
  <si>
    <t>3.61</t>
  </si>
  <si>
    <t>180.4</t>
  </si>
  <si>
    <t>.112</t>
  </si>
  <si>
    <t>.229</t>
  </si>
  <si>
    <t>13.8</t>
  </si>
  <si>
    <t>15.5</t>
  </si>
  <si>
    <t>695.3</t>
  </si>
  <si>
    <t>12/31/2014</t>
  </si>
  <si>
    <t>&lt; 134.8</t>
  </si>
  <si>
    <t>.079</t>
  </si>
  <si>
    <t>&lt; 261</t>
  </si>
  <si>
    <t>01/31/2015</t>
  </si>
  <si>
    <t>&lt; 2.28</t>
  </si>
  <si>
    <t>&lt; 107.9</t>
  </si>
  <si>
    <t>13.12</t>
  </si>
  <si>
    <t>.036</t>
  </si>
  <si>
    <t>1.7</t>
  </si>
  <si>
    <t>236</t>
  </si>
  <si>
    <t>02/28/2015</t>
  </si>
  <si>
    <t>&lt; 2.09</t>
  </si>
  <si>
    <t>&lt; 99.9</t>
  </si>
  <si>
    <t>.048</t>
  </si>
  <si>
    <t>.099</t>
  </si>
  <si>
    <t>&lt; 3.5</t>
  </si>
  <si>
    <t>03/31/2015</t>
  </si>
  <si>
    <t>&lt; 2.11</t>
  </si>
  <si>
    <t>&lt; 147.7</t>
  </si>
  <si>
    <t>&lt; 277.6</t>
  </si>
  <si>
    <t>04/30/2015</t>
  </si>
  <si>
    <t>&lt; 2.19</t>
  </si>
  <si>
    <t>.046</t>
  </si>
  <si>
    <t>318.3</t>
  </si>
  <si>
    <t>05/31/2015</t>
  </si>
  <si>
    <t>&lt; 251.3</t>
  </si>
  <si>
    <t>.12</t>
  </si>
  <si>
    <t>701.9</t>
  </si>
  <si>
    <t>06/30/2015</t>
  </si>
  <si>
    <t>&lt; 244</t>
  </si>
  <si>
    <t>21</t>
  </si>
  <si>
    <t>219</t>
  </si>
  <si>
    <t>763.9</t>
  </si>
  <si>
    <t>07/31/2015</t>
  </si>
  <si>
    <t>&lt; 158.1</t>
  </si>
  <si>
    <t>20</t>
  </si>
  <si>
    <t>.532</t>
  </si>
  <si>
    <t>11.7</t>
  </si>
  <si>
    <t>421.4</t>
  </si>
  <si>
    <t>08/31/2015</t>
  </si>
  <si>
    <t>&lt; 130.2</t>
  </si>
  <si>
    <t>93</t>
  </si>
  <si>
    <t>.581</t>
  </si>
  <si>
    <t>17.3</t>
  </si>
  <si>
    <t>&lt; 7.3</t>
  </si>
  <si>
    <t>13.4</t>
  </si>
  <si>
    <t>&lt; 405.7</t>
  </si>
  <si>
    <t>09/30/2015</t>
  </si>
  <si>
    <t>&lt; 101</t>
  </si>
  <si>
    <t>&lt; .098</t>
  </si>
  <si>
    <t>.164</t>
  </si>
  <si>
    <t>&lt; 4</t>
  </si>
  <si>
    <t>10/31/2015</t>
  </si>
  <si>
    <t>&lt; 2.15</t>
  </si>
  <si>
    <t>&lt; 112.9</t>
  </si>
  <si>
    <t>&lt; .033</t>
  </si>
  <si>
    <t>&lt; .058</t>
  </si>
  <si>
    <t>273.3</t>
  </si>
  <si>
    <t>11/30/2015</t>
  </si>
  <si>
    <t>&lt; 2.07</t>
  </si>
  <si>
    <t>&lt; 132.3</t>
  </si>
  <si>
    <t>&lt; .064</t>
  </si>
  <si>
    <t>&lt; .043</t>
  </si>
  <si>
    <t>&lt; 5.5</t>
  </si>
  <si>
    <t>&lt; 5.7</t>
  </si>
  <si>
    <t>&lt; 364.8</t>
  </si>
  <si>
    <t>12/31/2015</t>
  </si>
  <si>
    <t>&lt; 2.64</t>
  </si>
  <si>
    <t>&lt; 204.7</t>
  </si>
  <si>
    <t>&lt; .166</t>
  </si>
  <si>
    <t>&lt; .351</t>
  </si>
  <si>
    <t>&lt; 13</t>
  </si>
  <si>
    <t>&lt; 7.7</t>
  </si>
  <si>
    <t>&lt; 601.6</t>
  </si>
  <si>
    <t>01/31/2016</t>
  </si>
  <si>
    <t>2.99</t>
  </si>
  <si>
    <t>214</t>
  </si>
  <si>
    <t>&lt; .085</t>
  </si>
  <si>
    <t>&lt; 5.9</t>
  </si>
  <si>
    <t>02/29/2016</t>
  </si>
  <si>
    <t>&lt; 3.04</t>
  </si>
  <si>
    <t>&lt; 178</t>
  </si>
  <si>
    <t>.127</t>
  </si>
  <si>
    <t>.404</t>
  </si>
  <si>
    <t>391.4</t>
  </si>
  <si>
    <t>03/31/2016</t>
  </si>
  <si>
    <t>&lt; 3.46</t>
  </si>
  <si>
    <t>&lt; 222.5</t>
  </si>
  <si>
    <t>.744</t>
  </si>
  <si>
    <t>1.733</t>
  </si>
  <si>
    <t>46.1</t>
  </si>
  <si>
    <t>554.6</t>
  </si>
  <si>
    <t>04/30/2016</t>
  </si>
  <si>
    <t>&lt; 3.12</t>
  </si>
  <si>
    <t>&lt; 4.4</t>
  </si>
  <si>
    <t>&lt; 271.4</t>
  </si>
  <si>
    <t>.668</t>
  </si>
  <si>
    <t>1.893</t>
  </si>
  <si>
    <t>37.2</t>
  </si>
  <si>
    <t>950.4</t>
  </si>
  <si>
    <t>05/31/2016</t>
  </si>
  <si>
    <t>&lt; 267.3</t>
  </si>
  <si>
    <t>62</t>
  </si>
  <si>
    <t>.085</t>
  </si>
  <si>
    <t>811.3</t>
  </si>
  <si>
    <t>06/30/2016</t>
  </si>
  <si>
    <t>&lt; 228.8</t>
  </si>
  <si>
    <t>684</t>
  </si>
  <si>
    <t>.261</t>
  </si>
  <si>
    <t>19.8</t>
  </si>
  <si>
    <t>1015.4</t>
  </si>
  <si>
    <t>07/31/2016</t>
  </si>
  <si>
    <t>&lt; 222</t>
  </si>
  <si>
    <t>99</t>
  </si>
  <si>
    <t>.101</t>
  </si>
  <si>
    <t>.205</t>
  </si>
  <si>
    <t>776.4</t>
  </si>
  <si>
    <t>08/31/2016</t>
  </si>
  <si>
    <t>&lt; 155.3</t>
  </si>
  <si>
    <t>16</t>
  </si>
  <si>
    <t>8.17</t>
  </si>
  <si>
    <t>545.3</t>
  </si>
  <si>
    <t>09/30/2016</t>
  </si>
  <si>
    <t>&lt; 169.6</t>
  </si>
  <si>
    <t>53</t>
  </si>
  <si>
    <t>743.4</t>
  </si>
  <si>
    <t>10/31/2016</t>
  </si>
  <si>
    <t>&lt; 152.5</t>
  </si>
  <si>
    <t>&lt; .106</t>
  </si>
  <si>
    <t>.342</t>
  </si>
  <si>
    <t>&lt; 7.4</t>
  </si>
  <si>
    <t>600.6</t>
  </si>
  <si>
    <t>11/30/2016</t>
  </si>
  <si>
    <t>&lt; 143.4</t>
  </si>
  <si>
    <t>.034</t>
  </si>
  <si>
    <t>588.7</t>
  </si>
  <si>
    <t>12/31/2016</t>
  </si>
  <si>
    <t>3.34</t>
  </si>
  <si>
    <t>189.6</t>
  </si>
  <si>
    <t>.119</t>
  </si>
  <si>
    <t>18.3</t>
  </si>
  <si>
    <t>669.4</t>
  </si>
  <si>
    <t>01/31/2017</t>
  </si>
  <si>
    <t>210.3</t>
  </si>
  <si>
    <t>.68</t>
  </si>
  <si>
    <t>.87</t>
  </si>
  <si>
    <t>399.21</t>
  </si>
  <si>
    <t>02/28/2017</t>
  </si>
  <si>
    <t>&lt; 271.5</t>
  </si>
  <si>
    <t>.092</t>
  </si>
  <si>
    <t>611</t>
  </si>
  <si>
    <t>03/31/2017</t>
  </si>
  <si>
    <t>&lt; 2.35</t>
  </si>
  <si>
    <t>&lt; 189.1</t>
  </si>
  <si>
    <t>495.4</t>
  </si>
  <si>
    <t>04/30/2017</t>
  </si>
  <si>
    <t>&lt; 186.4</t>
  </si>
  <si>
    <t>.122</t>
  </si>
  <si>
    <t>.224</t>
  </si>
  <si>
    <t>546.1</t>
  </si>
  <si>
    <t>05/31/2017</t>
  </si>
  <si>
    <t>&lt; 171</t>
  </si>
  <si>
    <t>.083</t>
  </si>
  <si>
    <t>.172</t>
  </si>
  <si>
    <t>623.1</t>
  </si>
  <si>
    <t>06/30/2017</t>
  </si>
  <si>
    <t>2.65</t>
  </si>
  <si>
    <t>3.91</t>
  </si>
  <si>
    <t>220.7</t>
  </si>
  <si>
    <t>73</t>
  </si>
  <si>
    <t>.0554</t>
  </si>
  <si>
    <t>6.36</t>
  </si>
  <si>
    <t>7.19</t>
  </si>
  <si>
    <t>539</t>
  </si>
  <si>
    <t>7.99</t>
  </si>
  <si>
    <t>07/31/2017</t>
  </si>
  <si>
    <t>4.42</t>
  </si>
  <si>
    <t>342.3</t>
  </si>
  <si>
    <t>50</t>
  </si>
  <si>
    <t>2420</t>
  </si>
  <si>
    <t>1.5</t>
  </si>
  <si>
    <t>806.3</t>
  </si>
  <si>
    <t>08/31/2017</t>
  </si>
  <si>
    <t>319.3</t>
  </si>
  <si>
    <t>56</t>
  </si>
  <si>
    <t>.57</t>
  </si>
  <si>
    <t>51</t>
  </si>
  <si>
    <t>7.13</t>
  </si>
  <si>
    <t>16.64</t>
  </si>
  <si>
    <t>885.2</t>
  </si>
  <si>
    <t>7.28</t>
  </si>
  <si>
    <t>8.49</t>
  </si>
  <si>
    <t>09/30/2017</t>
  </si>
  <si>
    <t>214.5</t>
  </si>
  <si>
    <t>462</t>
  </si>
  <si>
    <t>.195</t>
  </si>
  <si>
    <t>1.63</t>
  </si>
  <si>
    <t>13.9</t>
  </si>
  <si>
    <t>673</t>
  </si>
  <si>
    <t>10/31/2017</t>
  </si>
  <si>
    <t>269.8</t>
  </si>
  <si>
    <t>13.6</t>
  </si>
  <si>
    <t>754.1</t>
  </si>
  <si>
    <t>11/30/2017</t>
  </si>
  <si>
    <t>240.3</t>
  </si>
  <si>
    <t>9.34</t>
  </si>
  <si>
    <t>18.5</t>
  </si>
  <si>
    <t>804.2</t>
  </si>
  <si>
    <t>6.96</t>
  </si>
  <si>
    <t>7.41</t>
  </si>
  <si>
    <t>12/31/2017</t>
  </si>
  <si>
    <t>227</t>
  </si>
  <si>
    <t>9.56</t>
  </si>
  <si>
    <t>497.9</t>
  </si>
  <si>
    <t>6.95</t>
  </si>
  <si>
    <t>7.42</t>
  </si>
  <si>
    <t>01/31/2018</t>
  </si>
  <si>
    <t>190.4</t>
  </si>
  <si>
    <t>60.2</t>
  </si>
  <si>
    <t>8.03</t>
  </si>
  <si>
    <t>402.5</t>
  </si>
  <si>
    <t>7.07</t>
  </si>
  <si>
    <t>7.49</t>
  </si>
  <si>
    <t>02/28/2018</t>
  </si>
  <si>
    <t>183.9</t>
  </si>
  <si>
    <t>388</t>
  </si>
  <si>
    <t>6.99</t>
  </si>
  <si>
    <t>7.55</t>
  </si>
  <si>
    <t>03/31/2018</t>
  </si>
  <si>
    <t>240.1</t>
  </si>
  <si>
    <t>598.2</t>
  </si>
  <si>
    <t>7.02</t>
  </si>
  <si>
    <t>7.32</t>
  </si>
  <si>
    <t>04/30/2018</t>
  </si>
  <si>
    <t>236.1</t>
  </si>
  <si>
    <t>14.5</t>
  </si>
  <si>
    <t>614.4</t>
  </si>
  <si>
    <t>05/31/2018</t>
  </si>
  <si>
    <t>405.1</t>
  </si>
  <si>
    <t>84</t>
  </si>
  <si>
    <t>.33</t>
  </si>
  <si>
    <t>27.1</t>
  </si>
  <si>
    <t>1170.3</t>
  </si>
  <si>
    <t>06/30/2018</t>
  </si>
  <si>
    <t>192.7</t>
  </si>
  <si>
    <t>72</t>
  </si>
  <si>
    <t>.23</t>
  </si>
  <si>
    <t>.84</t>
  </si>
  <si>
    <t>07/31/2018</t>
  </si>
  <si>
    <t>161.7</t>
  </si>
  <si>
    <t>.05</t>
  </si>
  <si>
    <t>653.8</t>
  </si>
  <si>
    <t>7.66</t>
  </si>
  <si>
    <t>08/31/2018</t>
  </si>
  <si>
    <t>160.7</t>
  </si>
  <si>
    <t>67</t>
  </si>
  <si>
    <t>.6</t>
  </si>
  <si>
    <t>.8</t>
  </si>
  <si>
    <t>530</t>
  </si>
  <si>
    <t>09/30/2018</t>
  </si>
  <si>
    <t>204.7</t>
  </si>
  <si>
    <t>55</t>
  </si>
  <si>
    <t>1.2</t>
  </si>
  <si>
    <t>592.6</t>
  </si>
  <si>
    <t>7.69</t>
  </si>
  <si>
    <t>10/31/2018</t>
  </si>
  <si>
    <t>207.3</t>
  </si>
  <si>
    <t>1.6</t>
  </si>
  <si>
    <t>53.8</t>
  </si>
  <si>
    <t>513.2</t>
  </si>
  <si>
    <t>11/30/2018</t>
  </si>
  <si>
    <t>259.5</t>
  </si>
  <si>
    <t>45.1</t>
  </si>
  <si>
    <t>631.3</t>
  </si>
  <si>
    <t>12/31/2018</t>
  </si>
  <si>
    <t>374</t>
  </si>
  <si>
    <t>37.8</t>
  </si>
  <si>
    <t>6.98</t>
  </si>
  <si>
    <t>17.7</t>
  </si>
  <si>
    <t>956.3</t>
  </si>
  <si>
    <t>6.82</t>
  </si>
  <si>
    <t>01/31/2019</t>
  </si>
  <si>
    <t>486.6</t>
  </si>
  <si>
    <t>112</t>
  </si>
  <si>
    <t>6.51</t>
  </si>
  <si>
    <t>13.5</t>
  </si>
  <si>
    <t>1253.9</t>
  </si>
  <si>
    <t>02/28/2019</t>
  </si>
  <si>
    <t>307.4</t>
  </si>
  <si>
    <t>39.7</t>
  </si>
  <si>
    <t>779.2</t>
  </si>
  <si>
    <t>03/31/2019</t>
  </si>
  <si>
    <t>239.8</t>
  </si>
  <si>
    <t>4.55</t>
  </si>
  <si>
    <t>92.2</t>
  </si>
  <si>
    <t>6.65</t>
  </si>
  <si>
    <t>19.9</t>
  </si>
  <si>
    <t>559.2</t>
  </si>
  <si>
    <t>04/30/2019</t>
  </si>
  <si>
    <t>281.4</t>
  </si>
  <si>
    <t>282</t>
  </si>
  <si>
    <t>23.6</t>
  </si>
  <si>
    <t>33.5</t>
  </si>
  <si>
    <t>1332.5</t>
  </si>
  <si>
    <t>05/31/2019</t>
  </si>
  <si>
    <t>239.2</t>
  </si>
  <si>
    <t>48</t>
  </si>
  <si>
    <t>861.3</t>
  </si>
  <si>
    <t>06/30/2019</t>
  </si>
  <si>
    <t>259.2</t>
  </si>
  <si>
    <t>215</t>
  </si>
  <si>
    <t>1.1</t>
  </si>
  <si>
    <t>2.1</t>
  </si>
  <si>
    <t>80.3</t>
  </si>
  <si>
    <t>740.4</t>
  </si>
  <si>
    <t>07/31/2019</t>
  </si>
  <si>
    <t>533.2</t>
  </si>
  <si>
    <t>1251</t>
  </si>
  <si>
    <t>4840</t>
  </si>
  <si>
    <t>853.4</t>
  </si>
  <si>
    <t>89</t>
  </si>
  <si>
    <t>205.6</t>
  </si>
  <si>
    <t>4852.4</t>
  </si>
  <si>
    <t>08/31/2019</t>
  </si>
  <si>
    <t>1501.2</t>
  </si>
  <si>
    <t>1747</t>
  </si>
  <si>
    <t>22.8</t>
  </si>
  <si>
    <t>794.9</t>
  </si>
  <si>
    <t>24.8</t>
  </si>
  <si>
    <t>1153.8</t>
  </si>
  <si>
    <t>09/30/2019</t>
  </si>
  <si>
    <t>599.4</t>
  </si>
  <si>
    <t>570.3</t>
  </si>
  <si>
    <t>84.9</t>
  </si>
  <si>
    <t>156.7</t>
  </si>
  <si>
    <t>5623.6</t>
  </si>
  <si>
    <t>10/31/2019</t>
  </si>
  <si>
    <t>381.8</t>
  </si>
  <si>
    <t>16.8</t>
  </si>
  <si>
    <t>345.8</t>
  </si>
  <si>
    <t>6.74</t>
  </si>
  <si>
    <t>76.3</t>
  </si>
  <si>
    <t>153.8</t>
  </si>
  <si>
    <t>4482.1</t>
  </si>
  <si>
    <t>8.05</t>
  </si>
  <si>
    <t>11/30/2019</t>
  </si>
  <si>
    <t>939.2</t>
  </si>
  <si>
    <t>20.4</t>
  </si>
  <si>
    <t>934</t>
  </si>
  <si>
    <t>6.01</t>
  </si>
  <si>
    <t>260.8</t>
  </si>
  <si>
    <t>339</t>
  </si>
  <si>
    <t>17806.8</t>
  </si>
  <si>
    <t>8.04</t>
  </si>
  <si>
    <t>Outfall - Monitoring Location - Limit Set: 001 - 1 - B</t>
  </si>
  <si>
    <t>&lt; 5</t>
  </si>
  <si>
    <t>&lt; .2</t>
  </si>
  <si>
    <t>&lt; .6</t>
  </si>
  <si>
    <t>&lt; .23</t>
  </si>
  <si>
    <t>&lt; .11</t>
  </si>
  <si>
    <t>.0855</t>
  </si>
  <si>
    <t>&lt; .25</t>
  </si>
  <si>
    <t>.0832</t>
  </si>
  <si>
    <t>&lt; .16822</t>
  </si>
  <si>
    <t>&lt; .1655</t>
  </si>
  <si>
    <t>&lt; .04</t>
  </si>
  <si>
    <t>.13</t>
  </si>
  <si>
    <t>12/31/2019</t>
  </si>
  <si>
    <t>&lt; .3414</t>
  </si>
  <si>
    <t>Outfall - Monitoring Location - Limit Set: 001 - 5 - B</t>
  </si>
  <si>
    <t>Hardness, total (as CaCO3)</t>
  </si>
  <si>
    <t>370</t>
  </si>
  <si>
    <t>210</t>
  </si>
  <si>
    <t>346</t>
  </si>
  <si>
    <t>208</t>
  </si>
  <si>
    <t>248</t>
  </si>
  <si>
    <t>106</t>
  </si>
  <si>
    <t>240</t>
  </si>
  <si>
    <t>338</t>
  </si>
  <si>
    <t>180</t>
  </si>
  <si>
    <t>482</t>
  </si>
  <si>
    <t>Outfall - Monitoring Location - Limit Set: 001 - A - A</t>
  </si>
  <si>
    <t>Chlorine, total residual</t>
  </si>
  <si>
    <t>.099 mg/L</t>
  </si>
  <si>
    <t>.1 mg/L</t>
  </si>
  <si>
    <t>INST MAX</t>
  </si>
  <si>
    <t>&lt; .01</t>
  </si>
  <si>
    <t>.25</t>
  </si>
  <si>
    <t>.09</t>
  </si>
  <si>
    <t>&lt; .02</t>
  </si>
  <si>
    <t>.08</t>
  </si>
  <si>
    <t>.55</t>
  </si>
  <si>
    <t>.02</t>
  </si>
  <si>
    <t>2.27</t>
  </si>
  <si>
    <t>.26</t>
  </si>
  <si>
    <t>.24</t>
  </si>
  <si>
    <t>1.23</t>
  </si>
  <si>
    <t>Outfall - Monitoring Location - Limit Set: 002 - 1 - A</t>
  </si>
  <si>
    <t>NODI: C</t>
  </si>
  <si>
    <t>NODI: B</t>
  </si>
  <si>
    <t>Outfall - Monitoring Location - Limit Set: 002 - 1 - B</t>
  </si>
  <si>
    <t>Outfall - Monitoring Location - Limit Set: 002 - 5 - B</t>
  </si>
  <si>
    <t>Outfall - Monitoring Location - Limit Set: 002 - A - A</t>
  </si>
  <si>
    <t>Outfall - Monitoring Location - Limit Set: 003 - 1 - A</t>
  </si>
  <si>
    <t>500.4 lb/d</t>
  </si>
  <si>
    <t>.52 lb/d</t>
  </si>
  <si>
    <t>100.1 lb/d</t>
  </si>
  <si>
    <t>150.1 lb/d</t>
  </si>
  <si>
    <t>30 mg/L</t>
  </si>
  <si>
    <t>45 mg/L</t>
  </si>
  <si>
    <t>&lt; 102.5</t>
  </si>
  <si>
    <t>4.794</t>
  </si>
  <si>
    <t>5.626</t>
  </si>
  <si>
    <t>&lt; 11.4</t>
  </si>
  <si>
    <t>&lt; .283</t>
  </si>
  <si>
    <t>449.2</t>
  </si>
  <si>
    <t>11</t>
  </si>
  <si>
    <t>148</t>
  </si>
  <si>
    <t>4.817</t>
  </si>
  <si>
    <t>5.413</t>
  </si>
  <si>
    <t>&lt; 1.3</t>
  </si>
  <si>
    <t>&lt; .031</t>
  </si>
  <si>
    <t>692.9</t>
  </si>
  <si>
    <t>17.5</t>
  </si>
  <si>
    <t>35</t>
  </si>
  <si>
    <t>166.3</t>
  </si>
  <si>
    <t>4.833</t>
  </si>
  <si>
    <t>5.587</t>
  </si>
  <si>
    <t>&lt; 82.4</t>
  </si>
  <si>
    <t>4.382</t>
  </si>
  <si>
    <t>18.9</t>
  </si>
  <si>
    <t>132.3</t>
  </si>
  <si>
    <t>4.887</t>
  </si>
  <si>
    <t>5.787</t>
  </si>
  <si>
    <t>79.8</t>
  </si>
  <si>
    <t>1.939</t>
  </si>
  <si>
    <t>3.528</t>
  </si>
  <si>
    <t>773.3</t>
  </si>
  <si>
    <t>18.7</t>
  </si>
  <si>
    <t>172.4</t>
  </si>
  <si>
    <t>4.676</t>
  </si>
  <si>
    <t>5.66</t>
  </si>
  <si>
    <t>1016.6</t>
  </si>
  <si>
    <t>26.2</t>
  </si>
  <si>
    <t>29.9</t>
  </si>
  <si>
    <t>216.6</t>
  </si>
  <si>
    <t>2029</t>
  </si>
  <si>
    <t>4.353</t>
  </si>
  <si>
    <t>5.589</t>
  </si>
  <si>
    <t>&lt; 10</t>
  </si>
  <si>
    <t>&lt; .259</t>
  </si>
  <si>
    <t>.417</t>
  </si>
  <si>
    <t>853.3</t>
  </si>
  <si>
    <t>22.9</t>
  </si>
  <si>
    <t>203.8</t>
  </si>
  <si>
    <t>38</t>
  </si>
  <si>
    <t>4.494</t>
  </si>
  <si>
    <t>5.488</t>
  </si>
  <si>
    <t>&lt; .121</t>
  </si>
  <si>
    <t>1016.7</t>
  </si>
  <si>
    <t>25.8</t>
  </si>
  <si>
    <t>28.5</t>
  </si>
  <si>
    <t>178.2</t>
  </si>
  <si>
    <t>4.461</t>
  </si>
  <si>
    <t>5.363</t>
  </si>
  <si>
    <t>991.5</t>
  </si>
  <si>
    <t>29.8</t>
  </si>
  <si>
    <t>179.1</t>
  </si>
  <si>
    <t>4.874</t>
  </si>
  <si>
    <t>5.433</t>
  </si>
  <si>
    <t>1099.8</t>
  </si>
  <si>
    <t>27.4</t>
  </si>
  <si>
    <t>30.3</t>
  </si>
  <si>
    <t>176.1</t>
  </si>
  <si>
    <t>4.72</t>
  </si>
  <si>
    <t>5.512</t>
  </si>
  <si>
    <t>1152.5</t>
  </si>
  <si>
    <t>28.2</t>
  </si>
  <si>
    <t>149.5</t>
  </si>
  <si>
    <t>4.445</t>
  </si>
  <si>
    <t>5.869</t>
  </si>
  <si>
    <t>&lt; .016</t>
  </si>
  <si>
    <t>1033.3</t>
  </si>
  <si>
    <t>28.1</t>
  </si>
  <si>
    <t>38.7</t>
  </si>
  <si>
    <t>&lt; 118.8</t>
  </si>
  <si>
    <t>4.751</t>
  </si>
  <si>
    <t>5.764</t>
  </si>
  <si>
    <t>&lt; 34</t>
  </si>
  <si>
    <t>&lt; 1.106</t>
  </si>
  <si>
    <t>2.416</t>
  </si>
  <si>
    <t>786.6</t>
  </si>
  <si>
    <t>20.9</t>
  </si>
  <si>
    <t>143.2</t>
  </si>
  <si>
    <t>4.793</t>
  </si>
  <si>
    <t>5.597</t>
  </si>
  <si>
    <t>&lt; 1.4</t>
  </si>
  <si>
    <t>&lt; .036</t>
  </si>
  <si>
    <t>916.3</t>
  </si>
  <si>
    <t>24.7</t>
  </si>
  <si>
    <t>280.6</t>
  </si>
  <si>
    <t>4.539</t>
  </si>
  <si>
    <t>5.59</t>
  </si>
  <si>
    <t>&lt; .128</t>
  </si>
  <si>
    <t>&lt; .367</t>
  </si>
  <si>
    <t>958.6</t>
  </si>
  <si>
    <t>298.7</t>
  </si>
  <si>
    <t>4.812</t>
  </si>
  <si>
    <t>5.974</t>
  </si>
  <si>
    <t>1528.4</t>
  </si>
  <si>
    <t>41.8</t>
  </si>
  <si>
    <t>180.8</t>
  </si>
  <si>
    <t>88</t>
  </si>
  <si>
    <t>166</t>
  </si>
  <si>
    <t>4.615</t>
  </si>
  <si>
    <t>5.859</t>
  </si>
  <si>
    <t>&lt; 54</t>
  </si>
  <si>
    <t>&lt; 1.295</t>
  </si>
  <si>
    <t>2.058</t>
  </si>
  <si>
    <t>1076.6</t>
  </si>
  <si>
    <t>27.5</t>
  </si>
  <si>
    <t>37.3</t>
  </si>
  <si>
    <t>191.1</t>
  </si>
  <si>
    <t>160</t>
  </si>
  <si>
    <t>4.962</t>
  </si>
  <si>
    <t>5.551</t>
  </si>
  <si>
    <t>1410.8</t>
  </si>
  <si>
    <t>34.1</t>
  </si>
  <si>
    <t>247.9</t>
  </si>
  <si>
    <t>4.95</t>
  </si>
  <si>
    <t>1795.7</t>
  </si>
  <si>
    <t>57.3</t>
  </si>
  <si>
    <t>13.1</t>
  </si>
  <si>
    <t>413.5</t>
  </si>
  <si>
    <t>242</t>
  </si>
  <si>
    <t>708</t>
  </si>
  <si>
    <t>4.748</t>
  </si>
  <si>
    <t>6.021</t>
  </si>
  <si>
    <t>&lt; 30.6</t>
  </si>
  <si>
    <t>&lt; 1.182</t>
  </si>
  <si>
    <t>3.453</t>
  </si>
  <si>
    <t>1091.9</t>
  </si>
  <si>
    <t>39.4</t>
  </si>
  <si>
    <t>406.6</t>
  </si>
  <si>
    <t>229</t>
  </si>
  <si>
    <t>600</t>
  </si>
  <si>
    <t>4.698</t>
  </si>
  <si>
    <t>5.365</t>
  </si>
  <si>
    <t>&lt; 19.8</t>
  </si>
  <si>
    <t>&lt; .484</t>
  </si>
  <si>
    <t>1.123</t>
  </si>
  <si>
    <t>1101.5</t>
  </si>
  <si>
    <t>31.3</t>
  </si>
  <si>
    <t>326.6</t>
  </si>
  <si>
    <t>4.914</t>
  </si>
  <si>
    <t>5.666</t>
  </si>
  <si>
    <t>1307.1</t>
  </si>
  <si>
    <t>32.1</t>
  </si>
  <si>
    <t>36.1</t>
  </si>
  <si>
    <t>378.6</t>
  </si>
  <si>
    <t>3.957</t>
  </si>
  <si>
    <t>5.098</t>
  </si>
  <si>
    <t>865.5</t>
  </si>
  <si>
    <t>21.2</t>
  </si>
  <si>
    <t>269.2</t>
  </si>
  <si>
    <t>6.13</t>
  </si>
  <si>
    <t>1144.7</t>
  </si>
  <si>
    <t>32.8</t>
  </si>
  <si>
    <t>168.5</t>
  </si>
  <si>
    <t>4.715</t>
  </si>
  <si>
    <t>5.28</t>
  </si>
  <si>
    <t>281.9</t>
  </si>
  <si>
    <t>4.703</t>
  </si>
  <si>
    <t>5.221</t>
  </si>
  <si>
    <t>&lt; 45.4</t>
  </si>
  <si>
    <t>&lt; 1.074</t>
  </si>
  <si>
    <t>2.142</t>
  </si>
  <si>
    <t>650.8</t>
  </si>
  <si>
    <t>16.7</t>
  </si>
  <si>
    <t>318.8</t>
  </si>
  <si>
    <t>4.764</t>
  </si>
  <si>
    <t>5.376</t>
  </si>
  <si>
    <t>145.1</t>
  </si>
  <si>
    <t>4.003</t>
  </si>
  <si>
    <t>4.34</t>
  </si>
  <si>
    <t>1691.2</t>
  </si>
  <si>
    <t>42.5</t>
  </si>
  <si>
    <t>49.6</t>
  </si>
  <si>
    <t>15.1</t>
  </si>
  <si>
    <t>375.1</t>
  </si>
  <si>
    <t>102</t>
  </si>
  <si>
    <t>1560</t>
  </si>
  <si>
    <t>4.218</t>
  </si>
  <si>
    <t>.006</t>
  </si>
  <si>
    <t>1550</t>
  </si>
  <si>
    <t>42.7</t>
  </si>
  <si>
    <t>51.7</t>
  </si>
  <si>
    <t>246.8</t>
  </si>
  <si>
    <t>.21</t>
  </si>
  <si>
    <t>5.05</t>
  </si>
  <si>
    <t>4.791</t>
  </si>
  <si>
    <t>5.463</t>
  </si>
  <si>
    <t>1656</t>
  </si>
  <si>
    <t>270.1</t>
  </si>
  <si>
    <t>4.835</t>
  </si>
  <si>
    <t>5.574</t>
  </si>
  <si>
    <t>&lt; .089</t>
  </si>
  <si>
    <t>.276</t>
  </si>
  <si>
    <t>1078.4</t>
  </si>
  <si>
    <t>26.6</t>
  </si>
  <si>
    <t>32.5</t>
  </si>
  <si>
    <t>284.1</t>
  </si>
  <si>
    <t>4.74</t>
  </si>
  <si>
    <t>5.336</t>
  </si>
  <si>
    <t>.365</t>
  </si>
  <si>
    <t>.903</t>
  </si>
  <si>
    <t>1375.8</t>
  </si>
  <si>
    <t>34.6</t>
  </si>
  <si>
    <t>205.2</t>
  </si>
  <si>
    <t>4.347</t>
  </si>
  <si>
    <t>5.377</t>
  </si>
  <si>
    <t>20.3</t>
  </si>
  <si>
    <t>.5055</t>
  </si>
  <si>
    <t>1.002</t>
  </si>
  <si>
    <t>909.4</t>
  </si>
  <si>
    <t>24.5</t>
  </si>
  <si>
    <t>34.2</t>
  </si>
  <si>
    <t>152.4</t>
  </si>
  <si>
    <t>4.714</t>
  </si>
  <si>
    <t>5.209</t>
  </si>
  <si>
    <t>&lt; 5.4</t>
  </si>
  <si>
    <t>&lt; .13</t>
  </si>
  <si>
    <t>914.3</t>
  </si>
  <si>
    <t>23.5</t>
  </si>
  <si>
    <t>24.1</t>
  </si>
  <si>
    <t>171.6</t>
  </si>
  <si>
    <t>4.679</t>
  </si>
  <si>
    <t>5.895</t>
  </si>
  <si>
    <t>21.6</t>
  </si>
  <si>
    <t>.503</t>
  </si>
  <si>
    <t>.898</t>
  </si>
  <si>
    <t>757.7</t>
  </si>
  <si>
    <t>22.1</t>
  </si>
  <si>
    <t>&lt; 77.9</t>
  </si>
  <si>
    <t>4.76</t>
  </si>
  <si>
    <t>.448</t>
  </si>
  <si>
    <t>.555</t>
  </si>
  <si>
    <t>734.4</t>
  </si>
  <si>
    <t>18.6</t>
  </si>
  <si>
    <t>97.9</t>
  </si>
  <si>
    <t>4.501</t>
  </si>
  <si>
    <t>5.458</t>
  </si>
  <si>
    <t>.194</t>
  </si>
  <si>
    <t>366.6</t>
  </si>
  <si>
    <t>279.6</t>
  </si>
  <si>
    <t>4.598</t>
  </si>
  <si>
    <t>5.267</t>
  </si>
  <si>
    <t>.196</t>
  </si>
  <si>
    <t>722.4</t>
  </si>
  <si>
    <t>19.2</t>
  </si>
  <si>
    <t>23.2</t>
  </si>
  <si>
    <t>254.1</t>
  </si>
  <si>
    <t>4.801</t>
  </si>
  <si>
    <t>5.371</t>
  </si>
  <si>
    <t>.0535</t>
  </si>
  <si>
    <t>.0645</t>
  </si>
  <si>
    <t>1525.5</t>
  </si>
  <si>
    <t>293.1</t>
  </si>
  <si>
    <t>77</t>
  </si>
  <si>
    <t>4.659</t>
  </si>
  <si>
    <t>6.87</t>
  </si>
  <si>
    <t>.92</t>
  </si>
  <si>
    <t>1720.7</t>
  </si>
  <si>
    <t>44.2</t>
  </si>
  <si>
    <t>51.6</t>
  </si>
  <si>
    <t>269.9</t>
  </si>
  <si>
    <t>263</t>
  </si>
  <si>
    <t>4.795</t>
  </si>
  <si>
    <t>5.398</t>
  </si>
  <si>
    <t>.4668</t>
  </si>
  <si>
    <t>.6435</t>
  </si>
  <si>
    <t>1144.1</t>
  </si>
  <si>
    <t>129.4</t>
  </si>
  <si>
    <t>4.825</t>
  </si>
  <si>
    <t>5.482</t>
  </si>
  <si>
    <t>21.4</t>
  </si>
  <si>
    <t>.5384</t>
  </si>
  <si>
    <t>.9043</t>
  </si>
  <si>
    <t>1103.5</t>
  </si>
  <si>
    <t>27.3</t>
  </si>
  <si>
    <t>233.8</t>
  </si>
  <si>
    <t>64</t>
  </si>
  <si>
    <t>4.309</t>
  </si>
  <si>
    <t>5.276</t>
  </si>
  <si>
    <t>.2157</t>
  </si>
  <si>
    <t>.351</t>
  </si>
  <si>
    <t>751.3</t>
  </si>
  <si>
    <t>24.4</t>
  </si>
  <si>
    <t>170.2</t>
  </si>
  <si>
    <t>4.397</t>
  </si>
  <si>
    <t>4.84</t>
  </si>
  <si>
    <t>.2548</t>
  </si>
  <si>
    <t>.4095</t>
  </si>
  <si>
    <t>1367.3</t>
  </si>
  <si>
    <t>165.4</t>
  </si>
  <si>
    <t>4.612</t>
  </si>
  <si>
    <t>5.147</t>
  </si>
  <si>
    <t>.2348</t>
  </si>
  <si>
    <t>.323</t>
  </si>
  <si>
    <t>1131.6</t>
  </si>
  <si>
    <t>33.7</t>
  </si>
  <si>
    <t>&lt; 181.6</t>
  </si>
  <si>
    <t>4.599</t>
  </si>
  <si>
    <t>5.297</t>
  </si>
  <si>
    <t>.075</t>
  </si>
  <si>
    <t>984.7</t>
  </si>
  <si>
    <t>25.3</t>
  </si>
  <si>
    <t>33.6</t>
  </si>
  <si>
    <t>4.05</t>
  </si>
  <si>
    <t>150.6</t>
  </si>
  <si>
    <t>4.581</t>
  </si>
  <si>
    <t>5.661</t>
  </si>
  <si>
    <t>.0465</t>
  </si>
  <si>
    <t>.061</t>
  </si>
  <si>
    <t>833</t>
  </si>
  <si>
    <t>&lt; 113.5</t>
  </si>
  <si>
    <t>4.765</t>
  </si>
  <si>
    <t>5.478</t>
  </si>
  <si>
    <t>.148</t>
  </si>
  <si>
    <t>610</t>
  </si>
  <si>
    <t>&lt; 2.62</t>
  </si>
  <si>
    <t>&lt; 110.3</t>
  </si>
  <si>
    <t>4.849</t>
  </si>
  <si>
    <t>6.302</t>
  </si>
  <si>
    <t>.22</t>
  </si>
  <si>
    <t>.556</t>
  </si>
  <si>
    <t>698.4</t>
  </si>
  <si>
    <t>45.5</t>
  </si>
  <si>
    <t>1.2182</t>
  </si>
  <si>
    <t>1.935</t>
  </si>
  <si>
    <t>1124.1</t>
  </si>
  <si>
    <t>5.91</t>
  </si>
  <si>
    <t>214.3</t>
  </si>
  <si>
    <t>4.381</t>
  </si>
  <si>
    <t>5.115</t>
  </si>
  <si>
    <t>.1081</t>
  </si>
  <si>
    <t>.1795</t>
  </si>
  <si>
    <t>1477.8</t>
  </si>
  <si>
    <t>41.7</t>
  </si>
  <si>
    <t>222.5</t>
  </si>
  <si>
    <t>4.389</t>
  </si>
  <si>
    <t>5.283</t>
  </si>
  <si>
    <t>.1155</t>
  </si>
  <si>
    <t>.136</t>
  </si>
  <si>
    <t>906.4</t>
  </si>
  <si>
    <t>173.6</t>
  </si>
  <si>
    <t>3.536</t>
  </si>
  <si>
    <t>5.053</t>
  </si>
  <si>
    <t>.2203</t>
  </si>
  <si>
    <t>.6065</t>
  </si>
  <si>
    <t>1096.6</t>
  </si>
  <si>
    <t>31.7</t>
  </si>
  <si>
    <t>218.9</t>
  </si>
  <si>
    <t>44</t>
  </si>
  <si>
    <t>4.938</t>
  </si>
  <si>
    <t>5.438</t>
  </si>
  <si>
    <t>.3203</t>
  </si>
  <si>
    <t>.425</t>
  </si>
  <si>
    <t>966.3</t>
  </si>
  <si>
    <t>23.4</t>
  </si>
  <si>
    <t>29.7</t>
  </si>
  <si>
    <t>227.5</t>
  </si>
  <si>
    <t>4.931</t>
  </si>
  <si>
    <t>5.378</t>
  </si>
  <si>
    <t>.2672</t>
  </si>
  <si>
    <t>.288</t>
  </si>
  <si>
    <t>1079</t>
  </si>
  <si>
    <t>26.3</t>
  </si>
  <si>
    <t>154.1</t>
  </si>
  <si>
    <t>4.769</t>
  </si>
  <si>
    <t>5.745</t>
  </si>
  <si>
    <t>.1708</t>
  </si>
  <si>
    <t>.39</t>
  </si>
  <si>
    <t>1520.6</t>
  </si>
  <si>
    <t>37.9</t>
  </si>
  <si>
    <t>40.1</t>
  </si>
  <si>
    <t>3.73</t>
  </si>
  <si>
    <t>4.15</t>
  </si>
  <si>
    <t>135.5</t>
  </si>
  <si>
    <t>4.805</t>
  </si>
  <si>
    <t>5.246</t>
  </si>
  <si>
    <t>1.3</t>
  </si>
  <si>
    <t>.0324</t>
  </si>
  <si>
    <t>.024</t>
  </si>
  <si>
    <t>1499.4</t>
  </si>
  <si>
    <t>37.5</t>
  </si>
  <si>
    <t>39.1</t>
  </si>
  <si>
    <t>&lt; 3.28</t>
  </si>
  <si>
    <t>212.2</t>
  </si>
  <si>
    <t>2.963</t>
  </si>
  <si>
    <t>4.591</t>
  </si>
  <si>
    <t>.0563</t>
  </si>
  <si>
    <t>523.3</t>
  </si>
  <si>
    <t>21.3</t>
  </si>
  <si>
    <t>122.91</t>
  </si>
  <si>
    <t>4.574</t>
  </si>
  <si>
    <t>5.224</t>
  </si>
  <si>
    <t>.0267</t>
  </si>
  <si>
    <t>.0385</t>
  </si>
  <si>
    <t>716</t>
  </si>
  <si>
    <t>1019.9</t>
  </si>
  <si>
    <t>&lt; 110.13</t>
  </si>
  <si>
    <t>114</t>
  </si>
  <si>
    <t>4.509</t>
  </si>
  <si>
    <t>5.128</t>
  </si>
  <si>
    <t>&lt; 1.2</t>
  </si>
  <si>
    <t>&lt; .0308</t>
  </si>
  <si>
    <t>&lt; .0356</t>
  </si>
  <si>
    <t>967</t>
  </si>
  <si>
    <t>25.7</t>
  </si>
  <si>
    <t>144.4</t>
  </si>
  <si>
    <t>4.882</t>
  </si>
  <si>
    <t>&lt; 1.5</t>
  </si>
  <si>
    <t>&lt; .0378</t>
  </si>
  <si>
    <t>&lt; .0466</t>
  </si>
  <si>
    <t>807</t>
  </si>
  <si>
    <t>1031.6</t>
  </si>
  <si>
    <t>160.89</t>
  </si>
  <si>
    <t>4.433</t>
  </si>
  <si>
    <t>4.811</t>
  </si>
  <si>
    <t>&lt; .0397</t>
  </si>
  <si>
    <t>.0561</t>
  </si>
  <si>
    <t>904.2</t>
  </si>
  <si>
    <t>3.86</t>
  </si>
  <si>
    <t>4.43</t>
  </si>
  <si>
    <t>151.39</t>
  </si>
  <si>
    <t>4.776</t>
  </si>
  <si>
    <t>5.166</t>
  </si>
  <si>
    <t>&lt; 5.3</t>
  </si>
  <si>
    <t>&lt; .1348</t>
  </si>
  <si>
    <t>.3112</t>
  </si>
  <si>
    <t>776</t>
  </si>
  <si>
    <t>760.4</t>
  </si>
  <si>
    <t>3.71</t>
  </si>
  <si>
    <t>4.12</t>
  </si>
  <si>
    <t>142.8</t>
  </si>
  <si>
    <t>122</t>
  </si>
  <si>
    <t>4.694</t>
  </si>
  <si>
    <t>5.171</t>
  </si>
  <si>
    <t>&lt; .105</t>
  </si>
  <si>
    <t>.1346</t>
  </si>
  <si>
    <t>910.5</t>
  </si>
  <si>
    <t>23.3</t>
  </si>
  <si>
    <t>29.4</t>
  </si>
  <si>
    <t>4.03</t>
  </si>
  <si>
    <t>4.53</t>
  </si>
  <si>
    <t>157.56</t>
  </si>
  <si>
    <t>&lt; 5.2</t>
  </si>
  <si>
    <t>4.826</t>
  </si>
  <si>
    <t>5.388</t>
  </si>
  <si>
    <t>&lt; .1424</t>
  </si>
  <si>
    <t>.228</t>
  </si>
  <si>
    <t>755</t>
  </si>
  <si>
    <t>1052.4</t>
  </si>
  <si>
    <t>34.7</t>
  </si>
  <si>
    <t>5.32</t>
  </si>
  <si>
    <t>204.1</t>
  </si>
  <si>
    <t>128</t>
  </si>
  <si>
    <t>4.635</t>
  </si>
  <si>
    <t>5.114</t>
  </si>
  <si>
    <t>.2698</t>
  </si>
  <si>
    <t>.426</t>
  </si>
  <si>
    <t>724</t>
  </si>
  <si>
    <t>1110.9</t>
  </si>
  <si>
    <t>29.2</t>
  </si>
  <si>
    <t>156.66</t>
  </si>
  <si>
    <t>477</t>
  </si>
  <si>
    <t>5.005</t>
  </si>
  <si>
    <t>&lt; .0524</t>
  </si>
  <si>
    <t>.1648</t>
  </si>
  <si>
    <t>709</t>
  </si>
  <si>
    <t>1347</t>
  </si>
  <si>
    <t>&lt; 130.81</t>
  </si>
  <si>
    <t>117</t>
  </si>
  <si>
    <t>5.203</t>
  </si>
  <si>
    <t>&lt; 3.8</t>
  </si>
  <si>
    <t>&lt; .0992</t>
  </si>
  <si>
    <t>.206</t>
  </si>
  <si>
    <t>759</t>
  </si>
  <si>
    <t>1174.3</t>
  </si>
  <si>
    <t>28.9</t>
  </si>
  <si>
    <t>36.6</t>
  </si>
  <si>
    <t>&lt; 89.22</t>
  </si>
  <si>
    <t>4.472</t>
  </si>
  <si>
    <t>5.84</t>
  </si>
  <si>
    <t>.2106</t>
  </si>
  <si>
    <t>.213</t>
  </si>
  <si>
    <t>691</t>
  </si>
  <si>
    <t>626.5</t>
  </si>
  <si>
    <t>17.1</t>
  </si>
  <si>
    <t>&lt; 85.9</t>
  </si>
  <si>
    <t>5.15</t>
  </si>
  <si>
    <t>5.779</t>
  </si>
  <si>
    <t>.1802</t>
  </si>
  <si>
    <t>851</t>
  </si>
  <si>
    <t>515.3</t>
  </si>
  <si>
    <t>&lt; 2.27</t>
  </si>
  <si>
    <t>&lt; 93</t>
  </si>
  <si>
    <t>4.98</t>
  </si>
  <si>
    <t>5.29</t>
  </si>
  <si>
    <t>.116</t>
  </si>
  <si>
    <t>.144</t>
  </si>
  <si>
    <t>540.9</t>
  </si>
  <si>
    <t>&lt; 3.41</t>
  </si>
  <si>
    <t>&lt; 145</t>
  </si>
  <si>
    <t>5.08</t>
  </si>
  <si>
    <t>&lt; .028</t>
  </si>
  <si>
    <t>.035</t>
  </si>
  <si>
    <t>712.9</t>
  </si>
  <si>
    <t>&lt; 3.27</t>
  </si>
  <si>
    <t>&lt; 133</t>
  </si>
  <si>
    <t>4.94</t>
  </si>
  <si>
    <t>.051</t>
  </si>
  <si>
    <t>491.8</t>
  </si>
  <si>
    <t>17.8</t>
  </si>
  <si>
    <t>&lt; 2.77</t>
  </si>
  <si>
    <t>&lt; 108.7</t>
  </si>
  <si>
    <t>&lt; .053</t>
  </si>
  <si>
    <t>674.8</t>
  </si>
  <si>
    <t>19.4</t>
  </si>
  <si>
    <t>147.3</t>
  </si>
  <si>
    <t>&lt; 6</t>
  </si>
  <si>
    <t>5.13</t>
  </si>
  <si>
    <t>&lt; .067</t>
  </si>
  <si>
    <t>.077</t>
  </si>
  <si>
    <t>803</t>
  </si>
  <si>
    <t>21.9</t>
  </si>
  <si>
    <t>&lt; 149.9</t>
  </si>
  <si>
    <t>.331</t>
  </si>
  <si>
    <t>.621</t>
  </si>
  <si>
    <t>525.3</t>
  </si>
  <si>
    <t>&lt; 120.4</t>
  </si>
  <si>
    <t>5.69</t>
  </si>
  <si>
    <t>.16</t>
  </si>
  <si>
    <t>.175</t>
  </si>
  <si>
    <t>1101.1</t>
  </si>
  <si>
    <t>130.5</t>
  </si>
  <si>
    <t>4.86</t>
  </si>
  <si>
    <t>.296</t>
  </si>
  <si>
    <t>1219.8</t>
  </si>
  <si>
    <t>34.8</t>
  </si>
  <si>
    <t>124.3</t>
  </si>
  <si>
    <t>4.59</t>
  </si>
  <si>
    <t>&lt; .044</t>
  </si>
  <si>
    <t>1224.9</t>
  </si>
  <si>
    <t>32.7</t>
  </si>
  <si>
    <t>3.64</t>
  </si>
  <si>
    <t>135.6</t>
  </si>
  <si>
    <t>4.48</t>
  </si>
  <si>
    <t>4.89</t>
  </si>
  <si>
    <t>&lt; .099</t>
  </si>
  <si>
    <t>.163</t>
  </si>
  <si>
    <t>924.7</t>
  </si>
  <si>
    <t>24.9</t>
  </si>
  <si>
    <t>&lt; 82.1</t>
  </si>
  <si>
    <t>.656</t>
  </si>
  <si>
    <t>.707</t>
  </si>
  <si>
    <t>917.8</t>
  </si>
  <si>
    <t>27.7</t>
  </si>
  <si>
    <t>&lt; 57.1</t>
  </si>
  <si>
    <t>3.27</t>
  </si>
  <si>
    <t>.537</t>
  </si>
  <si>
    <t>340.4</t>
  </si>
  <si>
    <t>3.39</t>
  </si>
  <si>
    <t>83.725</t>
  </si>
  <si>
    <t>2.9069</t>
  </si>
  <si>
    <t>4.2714</t>
  </si>
  <si>
    <t>.1592</t>
  </si>
  <si>
    <t>.253</t>
  </si>
  <si>
    <t>9.05</t>
  </si>
  <si>
    <t>157.958</t>
  </si>
  <si>
    <t>6.32</t>
  </si>
  <si>
    <t>145</t>
  </si>
  <si>
    <t>3.69</t>
  </si>
  <si>
    <t>4.01</t>
  </si>
  <si>
    <t>3.13</t>
  </si>
  <si>
    <t>85.1</t>
  </si>
  <si>
    <t>3.24</t>
  </si>
  <si>
    <t>3.72</t>
  </si>
  <si>
    <t>268.3</t>
  </si>
  <si>
    <t>&lt; 57.3</t>
  </si>
  <si>
    <t>3.44</t>
  </si>
  <si>
    <t>1.4</t>
  </si>
  <si>
    <t>&lt; 104.8</t>
  </si>
  <si>
    <t>&lt; 68.5</t>
  </si>
  <si>
    <t>3.63</t>
  </si>
  <si>
    <t>.104</t>
  </si>
  <si>
    <t>234.4</t>
  </si>
  <si>
    <t>81.5</t>
  </si>
  <si>
    <t>3.59</t>
  </si>
  <si>
    <t>.297</t>
  </si>
  <si>
    <t>317.6</t>
  </si>
  <si>
    <t>&lt; 56.8</t>
  </si>
  <si>
    <t>3.11</t>
  </si>
  <si>
    <t>3.94</t>
  </si>
  <si>
    <t>.161</t>
  </si>
  <si>
    <t>.444</t>
  </si>
  <si>
    <t>228.9</t>
  </si>
  <si>
    <t>&lt; 91.3</t>
  </si>
  <si>
    <t>3.56</t>
  </si>
  <si>
    <t>365.4</t>
  </si>
  <si>
    <t>3.42</t>
  </si>
  <si>
    <t>88.6</t>
  </si>
  <si>
    <t>3.19</t>
  </si>
  <si>
    <t>3.58</t>
  </si>
  <si>
    <t>330</t>
  </si>
  <si>
    <t>&lt; 2.92</t>
  </si>
  <si>
    <t>&lt; 74.9</t>
  </si>
  <si>
    <t>3.02</t>
  </si>
  <si>
    <t>3.52</t>
  </si>
  <si>
    <t>.103</t>
  </si>
  <si>
    <t>143.1</t>
  </si>
  <si>
    <t>&lt; 66.1</t>
  </si>
  <si>
    <t>3.29</t>
  </si>
  <si>
    <t>3.55</t>
  </si>
  <si>
    <t>132.1</t>
  </si>
  <si>
    <t>&lt; 2.01</t>
  </si>
  <si>
    <t>&lt; 52.1</t>
  </si>
  <si>
    <t>.032</t>
  </si>
  <si>
    <t>.039</t>
  </si>
  <si>
    <t>&lt; 80</t>
  </si>
  <si>
    <t>&lt; 2.04</t>
  </si>
  <si>
    <t>&lt; 53</t>
  </si>
  <si>
    <t>3.67</t>
  </si>
  <si>
    <t>&lt; 99</t>
  </si>
  <si>
    <t>&lt; 2.21</t>
  </si>
  <si>
    <t>&lt; 61.5</t>
  </si>
  <si>
    <t>3.32</t>
  </si>
  <si>
    <t>5.27</t>
  </si>
  <si>
    <t>2.49</t>
  </si>
  <si>
    <t>.246</t>
  </si>
  <si>
    <t>171</t>
  </si>
  <si>
    <t>3.51</t>
  </si>
  <si>
    <t>3.85</t>
  </si>
  <si>
    <t>.252</t>
  </si>
  <si>
    <t>136.9</t>
  </si>
  <si>
    <t>&lt; 69</t>
  </si>
  <si>
    <t>3.76</t>
  </si>
  <si>
    <t>&lt; 207.8</t>
  </si>
  <si>
    <t>&lt; 55.9</t>
  </si>
  <si>
    <t>3.31</t>
  </si>
  <si>
    <t>3.75</t>
  </si>
  <si>
    <t>&lt; 109.2</t>
  </si>
  <si>
    <t>&lt; 59.6</t>
  </si>
  <si>
    <t>3.37</t>
  </si>
  <si>
    <t>&lt; .9</t>
  </si>
  <si>
    <t>&lt; .032</t>
  </si>
  <si>
    <t>136</t>
  </si>
  <si>
    <t>&lt; 2.08</t>
  </si>
  <si>
    <t>&lt; 48.6</t>
  </si>
  <si>
    <t>2.86</t>
  </si>
  <si>
    <t>3.89</t>
  </si>
  <si>
    <t>&lt; .8</t>
  </si>
  <si>
    <t>&lt; .076</t>
  </si>
  <si>
    <t>&lt; 125.5</t>
  </si>
  <si>
    <t>&lt; 40</t>
  </si>
  <si>
    <t>5.56</t>
  </si>
  <si>
    <t>&lt; .114</t>
  </si>
  <si>
    <t>.304</t>
  </si>
  <si>
    <t>86.1</t>
  </si>
  <si>
    <t>&lt; 3.02</t>
  </si>
  <si>
    <t>&lt; 73</t>
  </si>
  <si>
    <t>2.92</t>
  </si>
  <si>
    <t>6.16</t>
  </si>
  <si>
    <t>.169</t>
  </si>
  <si>
    <t>.554</t>
  </si>
  <si>
    <t>185.1</t>
  </si>
  <si>
    <t>89.5</t>
  </si>
  <si>
    <t>2.94</t>
  </si>
  <si>
    <t>22.6</t>
  </si>
  <si>
    <t>239</t>
  </si>
  <si>
    <t>&lt; 2.89</t>
  </si>
  <si>
    <t>&lt; 57.2</t>
  </si>
  <si>
    <t>2.35</t>
  </si>
  <si>
    <t>3.43</t>
  </si>
  <si>
    <t>31.4</t>
  </si>
  <si>
    <t>1.293</t>
  </si>
  <si>
    <t>2.159</t>
  </si>
  <si>
    <t>117.4</t>
  </si>
  <si>
    <t>1.95</t>
  </si>
  <si>
    <t>&lt; 67.2</t>
  </si>
  <si>
    <t>.062</t>
  </si>
  <si>
    <t>174.7</t>
  </si>
  <si>
    <t>&lt; 56.4</t>
  </si>
  <si>
    <t>2.33</t>
  </si>
  <si>
    <t>3.16</t>
  </si>
  <si>
    <t>.102</t>
  </si>
  <si>
    <t>207.5</t>
  </si>
  <si>
    <t>&lt; 24.4</t>
  </si>
  <si>
    <t>1.28</t>
  </si>
  <si>
    <t>82.4</t>
  </si>
  <si>
    <t>&lt; 9.4</t>
  </si>
  <si>
    <t>3.65</t>
  </si>
  <si>
    <t>39.5</t>
  </si>
  <si>
    <t>&lt; 45.2</t>
  </si>
  <si>
    <t>2.28</t>
  </si>
  <si>
    <t>3.95</t>
  </si>
  <si>
    <t>.393</t>
  </si>
  <si>
    <t>156.4</t>
  </si>
  <si>
    <t>&lt; 13.9</t>
  </si>
  <si>
    <t>.78</t>
  </si>
  <si>
    <t>66.6</t>
  </si>
  <si>
    <t>91.2</t>
  </si>
  <si>
    <t>30</t>
  </si>
  <si>
    <t>168.8</t>
  </si>
  <si>
    <t>3.05</t>
  </si>
  <si>
    <t>62.4</t>
  </si>
  <si>
    <t>2.45</t>
  </si>
  <si>
    <t>2.46</t>
  </si>
  <si>
    <t>152.8</t>
  </si>
  <si>
    <t>&lt; 55.7</t>
  </si>
  <si>
    <t>141.6</t>
  </si>
  <si>
    <t>&lt; 79</t>
  </si>
  <si>
    <t>.17</t>
  </si>
  <si>
    <t>297.9</t>
  </si>
  <si>
    <t>3.33</t>
  </si>
  <si>
    <t>71.5</t>
  </si>
  <si>
    <t>2.55</t>
  </si>
  <si>
    <t>161.9</t>
  </si>
  <si>
    <t>7.23</t>
  </si>
  <si>
    <t>7.47</t>
  </si>
  <si>
    <t>197.8</t>
  </si>
  <si>
    <t>96</t>
  </si>
  <si>
    <t>257.3</t>
  </si>
  <si>
    <t>394.1</t>
  </si>
  <si>
    <t>100.2</t>
  </si>
  <si>
    <t>.19</t>
  </si>
  <si>
    <t>428.5</t>
  </si>
  <si>
    <t>19.3</t>
  </si>
  <si>
    <t>25.9</t>
  </si>
  <si>
    <t>7.73</t>
  </si>
  <si>
    <t>95.9</t>
  </si>
  <si>
    <t>3.14</t>
  </si>
  <si>
    <t>3.5654</t>
  </si>
  <si>
    <t>.469</t>
  </si>
  <si>
    <t>.61</t>
  </si>
  <si>
    <t>347.2</t>
  </si>
  <si>
    <t>.53</t>
  </si>
  <si>
    <t>119.1</t>
  </si>
  <si>
    <t>53.1</t>
  </si>
  <si>
    <t>.65</t>
  </si>
  <si>
    <t>168.6</t>
  </si>
  <si>
    <t>136.4</t>
  </si>
  <si>
    <t>47.6</t>
  </si>
  <si>
    <t>298.4</t>
  </si>
  <si>
    <t>117.6</t>
  </si>
  <si>
    <t>15.4</t>
  </si>
  <si>
    <t>123.2</t>
  </si>
  <si>
    <t>323.9</t>
  </si>
  <si>
    <t>102.5</t>
  </si>
  <si>
    <t>.41</t>
  </si>
  <si>
    <t>292.9</t>
  </si>
  <si>
    <t>80.7</t>
  </si>
  <si>
    <t>275.4</t>
  </si>
  <si>
    <t>83.4</t>
  </si>
  <si>
    <t>313.5</t>
  </si>
  <si>
    <t>63.7</t>
  </si>
  <si>
    <t>200.5</t>
  </si>
  <si>
    <t>87</t>
  </si>
  <si>
    <t>119.6</t>
  </si>
  <si>
    <t>130.2</t>
  </si>
  <si>
    <t>30.1</t>
  </si>
  <si>
    <t>77.1</t>
  </si>
  <si>
    <t>209.2</t>
  </si>
  <si>
    <t>103.2</t>
  </si>
  <si>
    <t>47.3</t>
  </si>
  <si>
    <t>147.5</t>
  </si>
  <si>
    <t>191.8</t>
  </si>
  <si>
    <t>324.6</t>
  </si>
  <si>
    <t>1844.1</t>
  </si>
  <si>
    <t>72.7</t>
  </si>
  <si>
    <t>234.6</t>
  </si>
  <si>
    <t>249.5</t>
  </si>
  <si>
    <t>.019</t>
  </si>
  <si>
    <t>.186</t>
  </si>
  <si>
    <t>70.8</t>
  </si>
  <si>
    <t>142.3</t>
  </si>
  <si>
    <t>101</t>
  </si>
  <si>
    <t>61.4</t>
  </si>
  <si>
    <t>469.5</t>
  </si>
  <si>
    <t>88.5</t>
  </si>
  <si>
    <t>265.8</t>
  </si>
  <si>
    <t>Outfall - Monitoring Location - Limit Set: 003 - 1 - B</t>
  </si>
  <si>
    <t>&lt; 0</t>
  </si>
  <si>
    <t>&lt; .15</t>
  </si>
  <si>
    <t>&lt; .06</t>
  </si>
  <si>
    <t>.131</t>
  </si>
  <si>
    <t>.0562</t>
  </si>
  <si>
    <t>.0599</t>
  </si>
  <si>
    <t>&lt; .14703</t>
  </si>
  <si>
    <t>&lt; .03303</t>
  </si>
  <si>
    <t>&lt; .00003</t>
  </si>
  <si>
    <t>.0007</t>
  </si>
  <si>
    <t>.0031</t>
  </si>
  <si>
    <t>&lt; .0005</t>
  </si>
  <si>
    <t>Outfall - Monitoring Location - Limit Set: 003 - 5 - B</t>
  </si>
  <si>
    <t>80</t>
  </si>
  <si>
    <t>Outfall - Monitoring Location - Limit Set: 003 - A - A</t>
  </si>
  <si>
    <t>.202</t>
  </si>
  <si>
    <t>Outfall - Monitoring Location - Limit Set: SLD - SL - F</t>
  </si>
  <si>
    <t>Compliance w/part 258 sludge requirement</t>
  </si>
  <si>
    <t>Mon Y=1;N=0</t>
  </si>
  <si>
    <t>VALUE</t>
  </si>
  <si>
    <t>Outfall - Monitoring Location - Limit Set: SLD - SL - P</t>
  </si>
  <si>
    <t>Annual amount of sludge land applied</t>
  </si>
  <si>
    <t>Annual amt of sludge incinerated</t>
  </si>
  <si>
    <t>Annual amt sludge disposed in landfill</t>
  </si>
  <si>
    <t>Annual amt sludge transported interstate</t>
  </si>
  <si>
    <t>Annual amt. sludge disposed surface unit</t>
  </si>
  <si>
    <t>Annual sludge production, total</t>
  </si>
  <si>
    <t>Polychlorinated biphenyls (PCBs)</t>
  </si>
  <si>
    <t>Toxicity characteristic leaching procedure</t>
  </si>
  <si>
    <t>Mon DMT/y</t>
  </si>
  <si>
    <t>Mon metric t/yr</t>
  </si>
  <si>
    <t>49.99 mg/kg</t>
  </si>
  <si>
    <t>Mon pass=0/fail=1</t>
  </si>
  <si>
    <t>ANNL TOT</t>
  </si>
  <si>
    <t>ANNL MAX</t>
  </si>
  <si>
    <t>MO AV MN</t>
  </si>
  <si>
    <t>2072.91</t>
  </si>
  <si>
    <t>1724.42</t>
  </si>
  <si>
    <t>1511.93</t>
  </si>
  <si>
    <t>2109.6</t>
  </si>
  <si>
    <t>1955.02</t>
  </si>
  <si>
    <t>2147.181</t>
  </si>
  <si>
    <t>1892.04</t>
  </si>
  <si>
    <t>2750.32</t>
  </si>
  <si>
    <t>&lt; .0143</t>
  </si>
  <si>
    <t>2676.8</t>
  </si>
  <si>
    <t>2394.14</t>
  </si>
  <si>
    <t>2171.62</t>
  </si>
  <si>
    <t>1697.69</t>
  </si>
  <si>
    <t>&lt; .0382</t>
  </si>
  <si>
    <t>Outfall - Monitoring Location - Limit Set: SLD - V - P</t>
  </si>
  <si>
    <t>Ann. amt sludge disposed by other method</t>
  </si>
  <si>
    <t>Outfall - Monitoring Location - Limit Set: SLL - P - A</t>
  </si>
  <si>
    <t>Annual whole sludge application rate</t>
  </si>
  <si>
    <t>Mon met t/ha/yr</t>
  </si>
  <si>
    <t>MX VALUE</t>
  </si>
  <si>
    <t>Outfall - Monitoring Location - Limit Set: SLL - R - A</t>
  </si>
  <si>
    <t>Arsenic, dry weight</t>
  </si>
  <si>
    <t>Cadmium, dry weight</t>
  </si>
  <si>
    <t>Copper, dry weight</t>
  </si>
  <si>
    <t>Lead, dry weight</t>
  </si>
  <si>
    <t>Mercury, dry weight</t>
  </si>
  <si>
    <t>Molybdenum, dry weight</t>
  </si>
  <si>
    <t>Nickel, dry weight</t>
  </si>
  <si>
    <t>Selenium, dry weight</t>
  </si>
  <si>
    <t>Zinc, dry weight</t>
  </si>
  <si>
    <t>41 kg/ha</t>
  </si>
  <si>
    <t>41 mg/kg</t>
  </si>
  <si>
    <t>75 mg/kg</t>
  </si>
  <si>
    <t>39 kg/ha</t>
  </si>
  <si>
    <t>39 mg/kg</t>
  </si>
  <si>
    <t>85 mg/kg</t>
  </si>
  <si>
    <t>1500 kg/ha</t>
  </si>
  <si>
    <t>1500 mg/kg</t>
  </si>
  <si>
    <t>4300 mg/kg</t>
  </si>
  <si>
    <t>300 kg/ha</t>
  </si>
  <si>
    <t>300 mg/kg</t>
  </si>
  <si>
    <t>840 mg/kg</t>
  </si>
  <si>
    <t>17 kg/ha</t>
  </si>
  <si>
    <t>17 mg/kg</t>
  </si>
  <si>
    <t>57 mg/kg</t>
  </si>
  <si>
    <t>Mon kg/ha</t>
  </si>
  <si>
    <t>Mon mg/kg</t>
  </si>
  <si>
    <t>420 kg/ha</t>
  </si>
  <si>
    <t>420 mg/kg</t>
  </si>
  <si>
    <t>100 kg/ha</t>
  </si>
  <si>
    <t>100 mg/kg</t>
  </si>
  <si>
    <t>2800 kg/ha</t>
  </si>
  <si>
    <t>2800 mg/kg</t>
  </si>
  <si>
    <t>7500 mg/kg</t>
  </si>
  <si>
    <t>SINGSAMP</t>
  </si>
  <si>
    <t>Outfall - Monitoring Location - Limit Set: SLL - S - A</t>
  </si>
  <si>
    <t>Pollutant table from 503.13</t>
  </si>
  <si>
    <t>Mon table #</t>
  </si>
  <si>
    <t>Outfall - Monitoring Location - Limit Set: SLL - SL - A</t>
  </si>
  <si>
    <t>Description of pathogen option used</t>
  </si>
  <si>
    <t>Vector attraction reduction altern used</t>
  </si>
  <si>
    <t>Mon alt #</t>
  </si>
  <si>
    <t>Outfall - Monitoring Location - Limit Set: SLL - T - A</t>
  </si>
  <si>
    <t>Level of pathogen requirements achieved</t>
  </si>
  <si>
    <t>Mon state class</t>
  </si>
  <si>
    <t>Outfall - Monitoring Location - Limit Set: SLS - SL - A</t>
  </si>
  <si>
    <t>Chromium, dry weight</t>
  </si>
  <si>
    <t>Unit boundary to property line distance</t>
  </si>
  <si>
    <t>Unit w/liner/leachate collection system</t>
  </si>
  <si>
    <t>Mon m</t>
  </si>
  <si>
    <t>ALLWCONC</t>
  </si>
  <si>
    <t>Outfall - Monitoring Location - Limit Set: SLS - T - A</t>
  </si>
  <si>
    <t>Outfall - Monitoring Location - Limit Set: TX1 - 1 - Q</t>
  </si>
  <si>
    <t>%Mortality 7Day Chronic Ceriodaphnia</t>
  </si>
  <si>
    <t>%Mortality Static Renewal 7Day Chronic Pimephales Promelas</t>
  </si>
  <si>
    <t>Coef Of Var Statre 7Day Chronic Ceriodaphnia</t>
  </si>
  <si>
    <t>Coef Of Var Statre 7Day Chronic Pimephales</t>
  </si>
  <si>
    <t>LF Pass/Fail Leth Statre 7Day Chronic Ceriodaphnia</t>
  </si>
  <si>
    <t>LF Pass/Fail Leth Statre 7Day Chronic Pimephales</t>
  </si>
  <si>
    <t>Noel Lethal Statre 7Day Chronic Ceriodaphnia</t>
  </si>
  <si>
    <t>Noel Lethal Statre 7Day Chronic Pimephales</t>
  </si>
  <si>
    <t>Noel Sub-Lth Statre 7Day Chronic Ceriodaphnia</t>
  </si>
  <si>
    <t>Noel Sub-Lth Statre 7Day Chronic Pimephales</t>
  </si>
  <si>
    <t>Pass/Fail Statre 7Day Chronic Ceriodaphnia</t>
  </si>
  <si>
    <t>Pass/Fail Statre 7Day Chronic Pimephales Promelas</t>
  </si>
  <si>
    <t>Whole effluent toxicity</t>
  </si>
  <si>
    <t>Whole effluent toxicity - retest #1</t>
  </si>
  <si>
    <t>Whole effluent toxicity - retest #2</t>
  </si>
  <si>
    <t>Mon %</t>
  </si>
  <si>
    <t>100 %</t>
  </si>
  <si>
    <t>Mon SU</t>
  </si>
  <si>
    <t>7 DA MIN</t>
  </si>
  <si>
    <t>DAILY MN</t>
  </si>
  <si>
    <t>30.5</t>
  </si>
  <si>
    <t>100</t>
  </si>
  <si>
    <t>24.49</t>
  </si>
  <si>
    <t>.45</t>
  </si>
  <si>
    <t>&lt; .32</t>
  </si>
  <si>
    <t>18.35</t>
  </si>
  <si>
    <t>17.31</t>
  </si>
  <si>
    <t>NODI:</t>
  </si>
  <si>
    <t>22.88</t>
  </si>
  <si>
    <t>6.59</t>
  </si>
  <si>
    <t>8.59</t>
  </si>
  <si>
    <t>7.71</t>
  </si>
  <si>
    <t>10.65</t>
  </si>
  <si>
    <t>&lt; 5.58</t>
  </si>
  <si>
    <t>25.5</t>
  </si>
  <si>
    <t>13.58</t>
  </si>
  <si>
    <t>6.22</t>
  </si>
  <si>
    <t>17.34</t>
  </si>
  <si>
    <t>9.83</t>
  </si>
  <si>
    <t>&lt; .53</t>
  </si>
  <si>
    <t>27.96</t>
  </si>
  <si>
    <t>&lt; 7.93</t>
  </si>
  <si>
    <t>8.25</t>
  </si>
  <si>
    <t>19.12</t>
  </si>
  <si>
    <t>19.16</t>
  </si>
  <si>
    <t>13.88</t>
  </si>
  <si>
    <t>19.85</t>
  </si>
  <si>
    <t>12.15</t>
  </si>
  <si>
    <t>7.96</t>
  </si>
  <si>
    <t>14.12</t>
  </si>
  <si>
    <t>&lt; 1.333</t>
  </si>
  <si>
    <t>&lt; .015</t>
  </si>
  <si>
    <t>.022</t>
  </si>
  <si>
    <t>.018</t>
  </si>
  <si>
    <t>10.71</t>
  </si>
  <si>
    <t>21.19</t>
  </si>
  <si>
    <t>.038</t>
  </si>
  <si>
    <t>Outfall - Monitoring Location - Limit Set: TX1 - 1 - S</t>
  </si>
  <si>
    <t>.015</t>
  </si>
  <si>
    <t>1.78</t>
  </si>
  <si>
    <t>.317</t>
  </si>
  <si>
    <t>.262</t>
  </si>
  <si>
    <t>.082</t>
  </si>
  <si>
    <t>.028</t>
  </si>
  <si>
    <t>.027</t>
  </si>
  <si>
    <t>&lt; .244</t>
  </si>
  <si>
    <t>&lt; .091</t>
  </si>
  <si>
    <t>.363</t>
  </si>
  <si>
    <t>1.32</t>
  </si>
  <si>
    <t>.788</t>
  </si>
  <si>
    <t>.031</t>
  </si>
  <si>
    <t>1.56</t>
  </si>
  <si>
    <t>.542</t>
  </si>
  <si>
    <t>.177</t>
  </si>
  <si>
    <t>.2465</t>
  </si>
  <si>
    <t>.2087</t>
  </si>
  <si>
    <t>.802</t>
  </si>
  <si>
    <t>.025</t>
  </si>
  <si>
    <t>1.09</t>
  </si>
  <si>
    <t>.489</t>
  </si>
  <si>
    <t>Outfall - Monitoring Location - Limit Set: TX2 - 1 - Q</t>
  </si>
  <si>
    <t>Outfall - Monitoring Location - Limit Set: TX2 - 1 - S</t>
  </si>
  <si>
    <t>Outfall - Monitoring Location - Limit Set: TX3 - 1 - Q</t>
  </si>
  <si>
    <t>28.7</t>
  </si>
  <si>
    <t>&lt; .33</t>
  </si>
  <si>
    <t>20.59</t>
  </si>
  <si>
    <t>11.29</t>
  </si>
  <si>
    <t>36.7</t>
  </si>
  <si>
    <t>.46</t>
  </si>
  <si>
    <t>32.6</t>
  </si>
  <si>
    <t>19.47</t>
  </si>
  <si>
    <t>.73</t>
  </si>
  <si>
    <t>&lt; .41</t>
  </si>
  <si>
    <t>17.6</t>
  </si>
  <si>
    <t>107</t>
  </si>
  <si>
    <t>15.16</t>
  </si>
  <si>
    <t>15.73</t>
  </si>
  <si>
    <t>16.31</t>
  </si>
  <si>
    <t>&lt; 1.03</t>
  </si>
  <si>
    <t>9.58</t>
  </si>
  <si>
    <t>19.1</t>
  </si>
  <si>
    <t>6.53</t>
  </si>
  <si>
    <t>35.1</t>
  </si>
  <si>
    <t>10.44</t>
  </si>
  <si>
    <t>13.83</t>
  </si>
  <si>
    <t>14.92</t>
  </si>
  <si>
    <t>19.29</t>
  </si>
  <si>
    <t>16.32</t>
  </si>
  <si>
    <t>NODI: E</t>
  </si>
  <si>
    <t>9.36</t>
  </si>
  <si>
    <t>&lt; .019</t>
  </si>
  <si>
    <t>59.6</t>
  </si>
  <si>
    <t>.156</t>
  </si>
  <si>
    <t>12.18</t>
  </si>
  <si>
    <t>.345</t>
  </si>
  <si>
    <t>.167</t>
  </si>
  <si>
    <t>.147</t>
  </si>
  <si>
    <t>.214</t>
  </si>
  <si>
    <t>.189</t>
  </si>
  <si>
    <t>Outfall - Monitoring Location - Limit Set: TX3 - 1 - S</t>
  </si>
  <si>
    <t>.023</t>
  </si>
  <si>
    <t>.254</t>
  </si>
  <si>
    <t>.244</t>
  </si>
  <si>
    <t>.3542</t>
  </si>
  <si>
    <t>12/31/2020</t>
  </si>
  <si>
    <t>579.4</t>
  </si>
  <si>
    <t>236.2</t>
  </si>
  <si>
    <t>3692.7</t>
  </si>
  <si>
    <t>01/31/2021</t>
  </si>
  <si>
    <t>537.3</t>
  </si>
  <si>
    <t>757.2</t>
  </si>
  <si>
    <t>38.9</t>
  </si>
  <si>
    <t>1039.7</t>
  </si>
  <si>
    <t>02/28/2021</t>
  </si>
  <si>
    <t>684.3</t>
  </si>
  <si>
    <t>930.4</t>
  </si>
  <si>
    <t>82.5</t>
  </si>
  <si>
    <t>230.3</t>
  </si>
  <si>
    <t>4385.8</t>
  </si>
  <si>
    <t>03/31/2021</t>
  </si>
  <si>
    <t>1122.1</t>
  </si>
  <si>
    <t>18.4</t>
  </si>
  <si>
    <t>1035.4</t>
  </si>
  <si>
    <t>123.3</t>
  </si>
  <si>
    <t>230.6</t>
  </si>
  <si>
    <t>7894.6</t>
  </si>
  <si>
    <t>04/30/2021</t>
  </si>
  <si>
    <t>22.5</t>
  </si>
  <si>
    <t>1556.6</t>
  </si>
  <si>
    <t>1317.7</t>
  </si>
  <si>
    <t>122.9</t>
  </si>
  <si>
    <t>8809.8</t>
  </si>
  <si>
    <t>05/31/2021</t>
  </si>
  <si>
    <t>1404.6</t>
  </si>
  <si>
    <t>14777</t>
  </si>
  <si>
    <t>98040</t>
  </si>
  <si>
    <t>1509.5</t>
  </si>
  <si>
    <t>111.7</t>
  </si>
  <si>
    <t>271.4</t>
  </si>
  <si>
    <t>7401.6</t>
  </si>
  <si>
    <t>01/31/2020</t>
  </si>
  <si>
    <t>02/29/2020</t>
  </si>
  <si>
    <t>03/31/2020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</si>
  <si>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</si>
  <si>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</si>
  <si>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</si>
  <si>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</si>
  <si>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</si>
  <si>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</si>
  <si>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</si>
  <si>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</si>
  <si>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40.4</t>
  </si>
  <si>
    <t>727.6</t>
  </si>
  <si>
    <t>444.1</t>
  </si>
  <si>
    <t>280.8</t>
  </si>
  <si>
    <t>440.2</t>
  </si>
  <si>
    <t>256</t>
  </si>
  <si>
    <t>215.5</t>
  </si>
  <si>
    <t>216.5</t>
  </si>
  <si>
    <t>230.9</t>
  </si>
  <si>
    <t>397.834</t>
  </si>
  <si>
    <t>476.3</t>
  </si>
  <si>
    <t>360.7</t>
  </si>
  <si>
    <t>E. coli</t>
  </si>
  <si>
    <t>126 MPN/100mL</t>
  </si>
  <si>
    <t>406 MPN/100mL</t>
  </si>
  <si>
    <t>1733</t>
  </si>
  <si>
    <t>571</t>
  </si>
  <si>
    <t>899</t>
  </si>
  <si>
    <t>2828</t>
  </si>
  <si>
    <t>1022</t>
  </si>
  <si>
    <t>24.6</t>
  </si>
  <si>
    <t>.31</t>
  </si>
  <si>
    <t>35.3</t>
  </si>
  <si>
    <t>94.9</t>
  </si>
  <si>
    <t>140.2</t>
  </si>
  <si>
    <t>69.8</t>
  </si>
  <si>
    <t>155.5</t>
  </si>
  <si>
    <t>27.23</t>
  </si>
  <si>
    <t>750.2</t>
  </si>
  <si>
    <t>25.1</t>
  </si>
  <si>
    <t>683.7</t>
  </si>
  <si>
    <t>595.6</t>
  </si>
  <si>
    <t>450.3</t>
  </si>
  <si>
    <t>.58</t>
  </si>
  <si>
    <t>6.21</t>
  </si>
  <si>
    <t>7.31</t>
  </si>
  <si>
    <t>Selenium, total (as Se)</t>
  </si>
  <si>
    <t>121.7</t>
  </si>
  <si>
    <t>262.4</t>
  </si>
  <si>
    <t>5253.2</t>
  </si>
  <si>
    <t>137.5</t>
  </si>
  <si>
    <t>199.3</t>
  </si>
  <si>
    <t>5115.4</t>
  </si>
  <si>
    <t>72.6</t>
  </si>
  <si>
    <t>133.9</t>
  </si>
  <si>
    <t>2841.7</t>
  </si>
  <si>
    <t>155.3</t>
  </si>
  <si>
    <t>243.7</t>
  </si>
  <si>
    <t>7282.1</t>
  </si>
  <si>
    <t>70.7</t>
  </si>
  <si>
    <t>117.2</t>
  </si>
  <si>
    <t>2968.8</t>
  </si>
  <si>
    <t>15.9</t>
  </si>
  <si>
    <t>654.2</t>
  </si>
  <si>
    <t>77.2</t>
  </si>
  <si>
    <t>1800.8</t>
  </si>
  <si>
    <t>66.7</t>
  </si>
  <si>
    <t>285.8</t>
  </si>
  <si>
    <t>1813.3</t>
  </si>
  <si>
    <t>51.1</t>
  </si>
  <si>
    <t>1020.8</t>
  </si>
  <si>
    <t>1233.8</t>
  </si>
  <si>
    <t>1156.6</t>
  </si>
  <si>
    <t>25.6</t>
  </si>
  <si>
    <t>38.2</t>
  </si>
  <si>
    <t>1538</t>
  </si>
  <si>
    <t>7.72</t>
  </si>
  <si>
    <t>7.39</t>
  </si>
  <si>
    <t>7.65</t>
  </si>
  <si>
    <t>.62</t>
  </si>
  <si>
    <t>&lt; .097</t>
  </si>
  <si>
    <t>&lt; .159</t>
  </si>
  <si>
    <t>.408</t>
  </si>
  <si>
    <t>.236</t>
  </si>
  <si>
    <t>06/30/2021</t>
  </si>
  <si>
    <t>62.5</t>
  </si>
  <si>
    <t>38.4</t>
  </si>
  <si>
    <t>29.3</t>
  </si>
  <si>
    <t>105.7</t>
  </si>
  <si>
    <t>36.9</t>
  </si>
  <si>
    <t>103.9</t>
  </si>
  <si>
    <t>.63</t>
  </si>
  <si>
    <t>3.18</t>
  </si>
  <si>
    <t>.0501</t>
  </si>
  <si>
    <t>.27</t>
  </si>
  <si>
    <t>3.22</t>
  </si>
  <si>
    <t>.74</t>
  </si>
  <si>
    <t>69.7</t>
  </si>
  <si>
    <t>33.4</t>
  </si>
  <si>
    <t>27.2</t>
  </si>
  <si>
    <t>6.11</t>
  </si>
  <si>
    <t>116.1</t>
  </si>
  <si>
    <t>35.8</t>
  </si>
  <si>
    <t>1.88</t>
  </si>
  <si>
    <t>61.5</t>
  </si>
  <si>
    <t>97.3</t>
  </si>
  <si>
    <t>325.1</t>
  </si>
  <si>
    <t>71</t>
  </si>
  <si>
    <t>151.1</t>
  </si>
  <si>
    <t>750.6 lb/d</t>
  </si>
  <si>
    <t>204.5</t>
  </si>
  <si>
    <t>83.8</t>
  </si>
  <si>
    <t>237.2</t>
  </si>
  <si>
    <t>1043</t>
  </si>
  <si>
    <t>352.5</t>
  </si>
  <si>
    <t>74.8</t>
  </si>
  <si>
    <t>121.9</t>
  </si>
  <si>
    <t>133.2</t>
  </si>
  <si>
    <t>.007</t>
  </si>
  <si>
    <t>.0001</t>
  </si>
  <si>
    <t>.002</t>
  </si>
  <si>
    <t>&lt; .0008</t>
  </si>
  <si>
    <t>.0036</t>
  </si>
  <si>
    <t>.0025</t>
  </si>
  <si>
    <t>Outfall - Monitoring Location - Limit Set: TX1 - 1 - A</t>
  </si>
  <si>
    <t>Whole Effluent Toxicity [WET] - Ceriodaphnia dubia</t>
  </si>
  <si>
    <t>75</t>
  </si>
  <si>
    <t>31.2</t>
  </si>
  <si>
    <t>&gt; 100</t>
  </si>
  <si>
    <t>59.82</t>
  </si>
  <si>
    <t>25.2</t>
  </si>
  <si>
    <t>18.44</t>
  </si>
  <si>
    <t>28.6</t>
  </si>
  <si>
    <t>Outfall - Monitoring Location - Limit Set: TX3 - 1 - A</t>
  </si>
  <si>
    <t>32.4</t>
  </si>
  <si>
    <t>https://echo.epa.gov/facilities/facility-search/results</t>
  </si>
  <si>
    <t>Search by state then Comanche County then Lawton City of</t>
  </si>
  <si>
    <t>Number of exceedances</t>
  </si>
  <si>
    <t>Greater than 5x limit</t>
  </si>
  <si>
    <t>Monthly rate</t>
  </si>
  <si>
    <t>For 2021</t>
  </si>
  <si>
    <t>For 2022</t>
  </si>
  <si>
    <t>Outfall 001 sub</t>
  </si>
  <si>
    <t>For 2020</t>
  </si>
  <si>
    <t>For 2019</t>
  </si>
  <si>
    <t>7825</t>
  </si>
  <si>
    <t>48840</t>
  </si>
  <si>
    <t>07/31/2021</t>
  </si>
  <si>
    <t>2650</t>
  </si>
  <si>
    <t>86645</t>
  </si>
  <si>
    <t>08/31/2021</t>
  </si>
  <si>
    <t>8704</t>
  </si>
  <si>
    <t>09/30/2021</t>
  </si>
  <si>
    <t>10/31/2021</t>
  </si>
  <si>
    <t>11/30/2021</t>
  </si>
  <si>
    <t>12/31/2021</t>
  </si>
  <si>
    <t>01/31/2022</t>
  </si>
  <si>
    <t>02/28/2022</t>
  </si>
  <si>
    <t>03/31/2022</t>
  </si>
  <si>
    <t>04/30/2022</t>
  </si>
  <si>
    <t>05/31/2022</t>
  </si>
  <si>
    <t>1300</t>
  </si>
  <si>
    <t>06/30/2022</t>
  </si>
  <si>
    <t>07/31/2022</t>
  </si>
  <si>
    <t>08/31/2022</t>
  </si>
  <si>
    <t>49</t>
  </si>
  <si>
    <t>286</t>
  </si>
  <si>
    <t>09/30/2022</t>
  </si>
  <si>
    <t>10/31/2022</t>
  </si>
  <si>
    <t>11/30/2022</t>
  </si>
  <si>
    <t>.009</t>
  </si>
  <si>
    <t>12/31/2022</t>
  </si>
  <si>
    <t>01/31/2023</t>
  </si>
  <si>
    <t>02/28/2023</t>
  </si>
  <si>
    <t>03/31/2023</t>
  </si>
  <si>
    <t>04/30/2023</t>
  </si>
  <si>
    <t>05/31/2023</t>
  </si>
  <si>
    <t>06/30/2023</t>
  </si>
  <si>
    <t>07/31/2023</t>
  </si>
  <si>
    <t>08/31/2023</t>
  </si>
  <si>
    <t>09/30/2023</t>
  </si>
  <si>
    <t>276</t>
  </si>
  <si>
    <t>1.37</t>
  </si>
  <si>
    <t>.005</t>
  </si>
  <si>
    <t>1.58</t>
  </si>
  <si>
    <t>.004</t>
  </si>
  <si>
    <t>19.7</t>
  </si>
  <si>
    <t>.0005</t>
  </si>
  <si>
    <t>.003</t>
  </si>
  <si>
    <t>.01</t>
  </si>
  <si>
    <t>.008</t>
  </si>
  <si>
    <t>.00002</t>
  </si>
  <si>
    <t>23.7</t>
  </si>
  <si>
    <t>15.3</t>
  </si>
  <si>
    <t>46.9</t>
  </si>
  <si>
    <t>78.1</t>
  </si>
  <si>
    <t>18.8</t>
  </si>
  <si>
    <t>34.4</t>
  </si>
  <si>
    <t>32.3</t>
  </si>
  <si>
    <t>38.5</t>
  </si>
  <si>
    <t>27.9</t>
  </si>
  <si>
    <t>4.27</t>
  </si>
  <si>
    <t>497.7</t>
  </si>
  <si>
    <t>469.9</t>
  </si>
  <si>
    <t>805.1</t>
  </si>
  <si>
    <t>567.5</t>
  </si>
  <si>
    <t>308</t>
  </si>
  <si>
    <t>328.5</t>
  </si>
  <si>
    <t>384.9</t>
  </si>
  <si>
    <t>335</t>
  </si>
  <si>
    <t>494.4</t>
  </si>
  <si>
    <t>671.8</t>
  </si>
  <si>
    <t>683.2</t>
  </si>
  <si>
    <t>471.9</t>
  </si>
  <si>
    <t>1117</t>
  </si>
  <si>
    <t>327.1</t>
  </si>
  <si>
    <t>314</t>
  </si>
  <si>
    <t>270.2</t>
  </si>
  <si>
    <t>182</t>
  </si>
  <si>
    <t>214.1</t>
  </si>
  <si>
    <t>232.6</t>
  </si>
  <si>
    <t>365</t>
  </si>
  <si>
    <t>395.4</t>
  </si>
  <si>
    <t>358.6</t>
  </si>
  <si>
    <t>257.1</t>
  </si>
  <si>
    <t>181.1</t>
  </si>
  <si>
    <t>277.2</t>
  </si>
  <si>
    <t>422.2</t>
  </si>
  <si>
    <t>309.1</t>
  </si>
  <si>
    <t>351.2</t>
  </si>
  <si>
    <t>368.1</t>
  </si>
  <si>
    <t>16.4</t>
  </si>
  <si>
    <t>22.7</t>
  </si>
  <si>
    <t>384.8</t>
  </si>
  <si>
    <t>88.3</t>
  </si>
  <si>
    <t>36.3</t>
  </si>
  <si>
    <t>222.9</t>
  </si>
  <si>
    <t>1013.5</t>
  </si>
  <si>
    <t>45.8</t>
  </si>
  <si>
    <t>196.3</t>
  </si>
  <si>
    <t>30.4</t>
  </si>
  <si>
    <t>31.8</t>
  </si>
  <si>
    <t>46.2</t>
  </si>
  <si>
    <t>324.8</t>
  </si>
  <si>
    <t>431.9</t>
  </si>
  <si>
    <t>1044.1</t>
  </si>
  <si>
    <t>982.4</t>
  </si>
  <si>
    <t>65.3</t>
  </si>
  <si>
    <t>1317</t>
  </si>
  <si>
    <t>1492.9</t>
  </si>
  <si>
    <t>1121.3</t>
  </si>
  <si>
    <t>1129.6</t>
  </si>
  <si>
    <t>1045.4</t>
  </si>
  <si>
    <t>1628.7</t>
  </si>
  <si>
    <t>1065.2</t>
  </si>
  <si>
    <t>1509.7</t>
  </si>
  <si>
    <t>1043.5</t>
  </si>
  <si>
    <t>1312.8</t>
  </si>
  <si>
    <t>1592.1</t>
  </si>
  <si>
    <t>5254</t>
  </si>
  <si>
    <t>1215.2</t>
  </si>
  <si>
    <t>1007.9</t>
  </si>
  <si>
    <t>1068.6</t>
  </si>
  <si>
    <t>563.3</t>
  </si>
  <si>
    <t>1476.6</t>
  </si>
  <si>
    <t>492.9</t>
  </si>
  <si>
    <t>1225.2</t>
  </si>
  <si>
    <t>1537.7</t>
  </si>
  <si>
    <t>1219.3</t>
  </si>
  <si>
    <t>1262.4</t>
  </si>
  <si>
    <t>464.3</t>
  </si>
  <si>
    <t>611.9</t>
  </si>
  <si>
    <t>1562.3</t>
  </si>
  <si>
    <t>1011.2</t>
  </si>
  <si>
    <t>1167.8</t>
  </si>
  <si>
    <t>1275.2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</si>
</sst>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44B8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0" fillId="0" borderId="0" xfId="0"/>
    <xf numFmtId="0" fontId="0" fillId="4" borderId="0" xfId="0" applyFill="1"/>
    <xf numFmtId="0" fontId="0" fillId="0" borderId="0" xfId="0"/>
    <xf numFmtId="0" fontId="0" fillId="0" borderId="0" xfId="0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0" borderId="0" xfId="0"/>
    <xf numFmtId="0" fontId="0" fillId="7" borderId="0" xfId="0" applyFill="1"/>
    <xf numFmtId="0" fontId="4" fillId="7" borderId="0" xfId="1" applyFill="1"/>
    <xf numFmtId="0" fontId="2" fillId="0" borderId="0" xfId="0" applyFont="1"/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0" fillId="8" borderId="0" xfId="0" applyFill="1"/>
    <xf numFmtId="14" fontId="0" fillId="0" borderId="0" xfId="0" applyNumberFormat="1"/>
    <xf numFmtId="0" fontId="0" fillId="9" borderId="0" xfId="0" applyFill="1"/>
    <xf numFmtId="0" fontId="0" fillId="10" borderId="0" xfId="0" applyFill="1"/>
    <xf numFmtId="0" fontId="0" fillId="0" borderId="0" xfId="0"/>
    <xf numFmtId="0" fontId="0" fillId="0" borderId="0" xfId="0"/>
    <xf numFmtId="0" fontId="5" fillId="3" borderId="0" xfId="0" applyFont="1" applyFill="1"/>
    <xf numFmtId="0" fontId="2" fillId="0" borderId="0" xfId="0" applyFont="1"/>
    <xf numFmtId="0" fontId="0" fillId="0" borderId="0" xfId="0"/>
    <xf numFmtId="0" fontId="3" fillId="0" borderId="0" xfId="0" applyFont="1"/>
    <xf numFmtId="0" fontId="1" fillId="2" borderId="0" xfId="0" applyFont="1" applyFill="1"/>
    <xf numFmtId="0" fontId="0" fillId="11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ho.epa.gov/facilities/facility-search/result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62"/>
  <sheetViews>
    <sheetView workbookViewId="0">
      <pane xSplit="1" ySplit="11" topLeftCell="AD200" activePane="bottomRight" state="frozen"/>
      <selection pane="topRight" activeCell="B1" sqref="B1"/>
      <selection pane="bottomLeft" activeCell="A12" sqref="A12"/>
      <selection pane="bottomRight" activeCell="AG211" sqref="AG211"/>
    </sheetView>
  </sheetViews>
  <sheetFormatPr defaultRowHeight="14.4" x14ac:dyDescent="0.3"/>
  <cols>
    <col min="1" max="1" width="20" bestFit="1" customWidth="1"/>
    <col min="2" max="12" width="12.6640625" customWidth="1"/>
    <col min="13" max="14" width="12.6640625" style="4" customWidth="1"/>
    <col min="15" max="33" width="12.6640625" customWidth="1"/>
    <col min="34" max="36" width="12.6640625" style="4" customWidth="1"/>
    <col min="37" max="48" width="12.6640625" customWidth="1"/>
  </cols>
  <sheetData>
    <row r="1" spans="1:48" x14ac:dyDescent="0.3">
      <c r="A1" s="26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48" x14ac:dyDescent="0.3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48" x14ac:dyDescent="0.3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48" x14ac:dyDescent="0.3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48" s="5" customFormat="1" x14ac:dyDescent="0.3"/>
    <row r="6" spans="1:48" x14ac:dyDescent="0.3">
      <c r="A6" s="10" t="s">
        <v>2434</v>
      </c>
      <c r="E6" s="10" t="s">
        <v>2435</v>
      </c>
    </row>
    <row r="8" spans="1:48" x14ac:dyDescent="0.3">
      <c r="A8" s="23" t="s">
        <v>4</v>
      </c>
      <c r="B8" s="24"/>
      <c r="C8" s="24"/>
      <c r="D8" s="24"/>
      <c r="E8" s="24"/>
    </row>
    <row r="9" spans="1:48" x14ac:dyDescent="0.3">
      <c r="B9" t="s">
        <v>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6</v>
      </c>
      <c r="I9" t="s">
        <v>7</v>
      </c>
      <c r="J9" t="s">
        <v>7</v>
      </c>
      <c r="K9" t="s">
        <v>7</v>
      </c>
      <c r="L9" t="s">
        <v>7</v>
      </c>
      <c r="M9" s="4" t="s">
        <v>2321</v>
      </c>
      <c r="N9" s="4" t="s">
        <v>2321</v>
      </c>
      <c r="O9" t="s">
        <v>8</v>
      </c>
      <c r="P9" t="s">
        <v>8</v>
      </c>
      <c r="Q9" t="s">
        <v>8</v>
      </c>
      <c r="R9" t="s">
        <v>9</v>
      </c>
      <c r="S9" t="s">
        <v>9</v>
      </c>
      <c r="T9" t="s">
        <v>10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  <c r="AC9" t="s">
        <v>10</v>
      </c>
      <c r="AD9" t="s">
        <v>10</v>
      </c>
      <c r="AE9" t="s">
        <v>10</v>
      </c>
      <c r="AF9" t="s">
        <v>11</v>
      </c>
      <c r="AG9" t="s">
        <v>11</v>
      </c>
      <c r="AH9" s="4" t="s">
        <v>2345</v>
      </c>
      <c r="AI9" s="4" t="s">
        <v>2345</v>
      </c>
      <c r="AJ9" s="4" t="s">
        <v>2345</v>
      </c>
      <c r="AK9" t="s">
        <v>12</v>
      </c>
      <c r="AL9" t="s">
        <v>13</v>
      </c>
      <c r="AM9" t="s">
        <v>13</v>
      </c>
      <c r="AN9" t="s">
        <v>13</v>
      </c>
      <c r="AO9" t="s">
        <v>13</v>
      </c>
      <c r="AP9" t="s">
        <v>13</v>
      </c>
      <c r="AQ9" t="s">
        <v>13</v>
      </c>
      <c r="AR9" t="s">
        <v>14</v>
      </c>
      <c r="AS9" t="s">
        <v>14</v>
      </c>
      <c r="AT9" t="s">
        <v>14</v>
      </c>
      <c r="AU9" t="s">
        <v>15</v>
      </c>
      <c r="AV9" t="s">
        <v>15</v>
      </c>
    </row>
    <row r="10" spans="1:48" s="1" customFormat="1" x14ac:dyDescent="0.3">
      <c r="B10" s="1" t="s">
        <v>16</v>
      </c>
      <c r="C10" s="1" t="s">
        <v>16</v>
      </c>
      <c r="D10" s="1" t="s">
        <v>17</v>
      </c>
      <c r="E10" s="1" t="s">
        <v>17</v>
      </c>
      <c r="F10" s="1" t="s">
        <v>18</v>
      </c>
      <c r="G10" s="1" t="s">
        <v>18</v>
      </c>
      <c r="H10" s="1" t="s">
        <v>19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2322</v>
      </c>
      <c r="N10" s="1" t="s">
        <v>2323</v>
      </c>
      <c r="O10" s="1" t="s">
        <v>22</v>
      </c>
      <c r="P10" s="1" t="s">
        <v>23</v>
      </c>
      <c r="Q10" s="1" t="s">
        <v>24</v>
      </c>
      <c r="R10" s="1" t="s">
        <v>25</v>
      </c>
      <c r="S10" s="1" t="s">
        <v>25</v>
      </c>
      <c r="T10" s="1" t="s">
        <v>26</v>
      </c>
      <c r="U10" s="1" t="s">
        <v>26</v>
      </c>
      <c r="V10" s="1" t="s">
        <v>27</v>
      </c>
      <c r="W10" s="1" t="s">
        <v>27</v>
      </c>
      <c r="X10" s="1" t="s">
        <v>27</v>
      </c>
      <c r="Y10" s="1" t="s">
        <v>27</v>
      </c>
      <c r="Z10" s="1" t="s">
        <v>28</v>
      </c>
      <c r="AA10" s="1" t="s">
        <v>28</v>
      </c>
      <c r="AB10" s="1" t="s">
        <v>29</v>
      </c>
      <c r="AC10" s="1" t="s">
        <v>29</v>
      </c>
      <c r="AD10" s="1" t="s">
        <v>30</v>
      </c>
      <c r="AE10" s="1" t="s">
        <v>30</v>
      </c>
      <c r="AF10" s="1" t="s">
        <v>31</v>
      </c>
      <c r="AG10" s="1" t="s">
        <v>32</v>
      </c>
      <c r="AH10" s="4" t="s">
        <v>35</v>
      </c>
      <c r="AI10" s="4" t="s">
        <v>36</v>
      </c>
      <c r="AJ10" s="4" t="s">
        <v>36</v>
      </c>
      <c r="AK10" s="1" t="s">
        <v>19</v>
      </c>
      <c r="AL10" s="1" t="s">
        <v>17</v>
      </c>
      <c r="AM10" s="1" t="s">
        <v>17</v>
      </c>
      <c r="AN10" s="1" t="s">
        <v>33</v>
      </c>
      <c r="AO10" s="1" t="s">
        <v>33</v>
      </c>
      <c r="AP10" s="1" t="s">
        <v>34</v>
      </c>
      <c r="AQ10" s="1" t="s">
        <v>34</v>
      </c>
      <c r="AR10" s="1" t="s">
        <v>35</v>
      </c>
      <c r="AS10" s="1" t="s">
        <v>36</v>
      </c>
      <c r="AT10" s="1" t="s">
        <v>36</v>
      </c>
      <c r="AU10" s="1" t="s">
        <v>37</v>
      </c>
      <c r="AV10" s="1" t="s">
        <v>38</v>
      </c>
    </row>
    <row r="11" spans="1:48" x14ac:dyDescent="0.3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40</v>
      </c>
      <c r="G11" t="s">
        <v>41</v>
      </c>
      <c r="H11" t="s">
        <v>41</v>
      </c>
      <c r="I11" t="s">
        <v>40</v>
      </c>
      <c r="J11" t="s">
        <v>44</v>
      </c>
      <c r="K11" t="s">
        <v>42</v>
      </c>
      <c r="L11" t="s">
        <v>45</v>
      </c>
      <c r="M11" s="4" t="s">
        <v>44</v>
      </c>
      <c r="N11" s="4" t="s">
        <v>45</v>
      </c>
      <c r="O11" t="s">
        <v>41</v>
      </c>
      <c r="P11" t="s">
        <v>41</v>
      </c>
      <c r="Q11" t="s">
        <v>45</v>
      </c>
      <c r="R11" t="s">
        <v>40</v>
      </c>
      <c r="S11" t="s">
        <v>45</v>
      </c>
      <c r="T11" t="s">
        <v>40</v>
      </c>
      <c r="U11" t="s">
        <v>41</v>
      </c>
      <c r="V11" t="s">
        <v>40</v>
      </c>
      <c r="W11" t="s">
        <v>42</v>
      </c>
      <c r="X11" t="s">
        <v>41</v>
      </c>
      <c r="Y11" t="s">
        <v>43</v>
      </c>
      <c r="Z11" t="s">
        <v>40</v>
      </c>
      <c r="AA11" t="s">
        <v>41</v>
      </c>
      <c r="AB11" t="s">
        <v>42</v>
      </c>
      <c r="AC11" t="s">
        <v>43</v>
      </c>
      <c r="AD11" t="s">
        <v>40</v>
      </c>
      <c r="AE11" t="s">
        <v>41</v>
      </c>
      <c r="AF11" t="s">
        <v>46</v>
      </c>
      <c r="AG11" t="s">
        <v>46</v>
      </c>
      <c r="AH11" s="4" t="s">
        <v>41</v>
      </c>
      <c r="AI11" s="4" t="s">
        <v>45</v>
      </c>
      <c r="AJ11" s="4" t="s">
        <v>41</v>
      </c>
      <c r="AK11" t="s">
        <v>41</v>
      </c>
      <c r="AL11" t="s">
        <v>40</v>
      </c>
      <c r="AM11" t="s">
        <v>41</v>
      </c>
      <c r="AN11" t="s">
        <v>42</v>
      </c>
      <c r="AO11" t="s">
        <v>43</v>
      </c>
      <c r="AP11" t="s">
        <v>40</v>
      </c>
      <c r="AQ11" t="s">
        <v>41</v>
      </c>
      <c r="AR11" t="s">
        <v>41</v>
      </c>
      <c r="AS11" t="s">
        <v>45</v>
      </c>
      <c r="AT11" t="s">
        <v>41</v>
      </c>
      <c r="AU11" t="s">
        <v>46</v>
      </c>
      <c r="AV11" t="s">
        <v>47</v>
      </c>
    </row>
    <row r="12" spans="1:48" x14ac:dyDescent="0.3">
      <c r="A12" t="s">
        <v>48</v>
      </c>
      <c r="B12" t="s">
        <v>49</v>
      </c>
      <c r="D12" t="s">
        <v>50</v>
      </c>
      <c r="F12" t="s">
        <v>51</v>
      </c>
      <c r="O12" t="s">
        <v>52</v>
      </c>
      <c r="P12" t="s">
        <v>52</v>
      </c>
      <c r="Q12" t="s">
        <v>52</v>
      </c>
      <c r="R12">
        <v>8.4740000000000002</v>
      </c>
      <c r="S12" s="2">
        <v>12.48</v>
      </c>
      <c r="V12" t="s">
        <v>53</v>
      </c>
      <c r="AB12" t="s">
        <v>53</v>
      </c>
      <c r="AD12" t="s">
        <v>54</v>
      </c>
      <c r="AF12" t="s">
        <v>55</v>
      </c>
      <c r="AL12" t="s">
        <v>56</v>
      </c>
      <c r="AN12" t="s">
        <v>57</v>
      </c>
      <c r="AP12" t="s">
        <v>58</v>
      </c>
      <c r="AU12" t="s">
        <v>59</v>
      </c>
      <c r="AV12" t="s">
        <v>60</v>
      </c>
    </row>
    <row r="13" spans="1:48" x14ac:dyDescent="0.3">
      <c r="A13" t="s">
        <v>61</v>
      </c>
      <c r="B13" t="s">
        <v>62</v>
      </c>
      <c r="D13" t="s">
        <v>63</v>
      </c>
      <c r="F13" t="s">
        <v>64</v>
      </c>
      <c r="O13" t="s">
        <v>52</v>
      </c>
      <c r="P13" t="s">
        <v>52</v>
      </c>
      <c r="Q13" t="s">
        <v>52</v>
      </c>
      <c r="R13">
        <v>6.7510000000000003</v>
      </c>
      <c r="S13" s="2">
        <v>8.89</v>
      </c>
      <c r="V13" t="s">
        <v>53</v>
      </c>
      <c r="AB13" t="s">
        <v>53</v>
      </c>
      <c r="AD13" t="s">
        <v>65</v>
      </c>
      <c r="AF13" t="s">
        <v>66</v>
      </c>
      <c r="AL13" t="s">
        <v>67</v>
      </c>
      <c r="AN13" s="1" t="s">
        <v>68</v>
      </c>
      <c r="AP13" t="s">
        <v>69</v>
      </c>
      <c r="AU13" t="s">
        <v>70</v>
      </c>
      <c r="AV13" t="s">
        <v>71</v>
      </c>
    </row>
    <row r="14" spans="1:48" x14ac:dyDescent="0.3">
      <c r="A14" t="s">
        <v>72</v>
      </c>
      <c r="B14" t="s">
        <v>73</v>
      </c>
      <c r="D14" t="s">
        <v>74</v>
      </c>
      <c r="F14" t="s">
        <v>75</v>
      </c>
      <c r="O14" t="s">
        <v>52</v>
      </c>
      <c r="P14" t="s">
        <v>52</v>
      </c>
      <c r="Q14" t="s">
        <v>52</v>
      </c>
      <c r="R14">
        <v>9.1579999999999995</v>
      </c>
      <c r="S14" s="2">
        <v>13.08</v>
      </c>
      <c r="V14" t="s">
        <v>76</v>
      </c>
      <c r="AB14" t="s">
        <v>77</v>
      </c>
      <c r="AD14" t="s">
        <v>78</v>
      </c>
      <c r="AF14" t="s">
        <v>79</v>
      </c>
      <c r="AL14" t="s">
        <v>80</v>
      </c>
      <c r="AN14" s="1" t="s">
        <v>81</v>
      </c>
      <c r="AP14" t="s">
        <v>82</v>
      </c>
      <c r="AU14" t="s">
        <v>70</v>
      </c>
      <c r="AV14" t="s">
        <v>60</v>
      </c>
    </row>
    <row r="15" spans="1:48" x14ac:dyDescent="0.3">
      <c r="A15" t="s">
        <v>83</v>
      </c>
      <c r="B15" t="s">
        <v>84</v>
      </c>
      <c r="D15" t="s">
        <v>73</v>
      </c>
      <c r="F15" t="s">
        <v>85</v>
      </c>
      <c r="O15" t="s">
        <v>86</v>
      </c>
      <c r="P15" t="s">
        <v>86</v>
      </c>
      <c r="Q15" t="s">
        <v>86</v>
      </c>
      <c r="R15">
        <v>10.048</v>
      </c>
      <c r="S15" s="2">
        <v>12.14</v>
      </c>
      <c r="T15" t="s">
        <v>87</v>
      </c>
      <c r="W15" t="s">
        <v>88</v>
      </c>
      <c r="Z15" t="s">
        <v>89</v>
      </c>
      <c r="AG15" t="s">
        <v>90</v>
      </c>
      <c r="AL15" t="s">
        <v>91</v>
      </c>
      <c r="AN15" s="1" t="s">
        <v>92</v>
      </c>
      <c r="AP15" t="s">
        <v>93</v>
      </c>
      <c r="AU15" t="s">
        <v>71</v>
      </c>
      <c r="AV15" t="s">
        <v>94</v>
      </c>
    </row>
    <row r="16" spans="1:48" x14ac:dyDescent="0.3">
      <c r="A16" t="s">
        <v>95</v>
      </c>
      <c r="B16" t="s">
        <v>96</v>
      </c>
      <c r="D16" t="s">
        <v>97</v>
      </c>
      <c r="F16" t="s">
        <v>98</v>
      </c>
      <c r="I16" t="s">
        <v>99</v>
      </c>
      <c r="K16" t="s">
        <v>100</v>
      </c>
      <c r="O16" t="s">
        <v>52</v>
      </c>
      <c r="P16" t="s">
        <v>52</v>
      </c>
      <c r="Q16" t="s">
        <v>52</v>
      </c>
      <c r="R16">
        <v>13.116</v>
      </c>
      <c r="S16" s="2">
        <v>19.510000000000002</v>
      </c>
      <c r="T16" t="s">
        <v>101</v>
      </c>
      <c r="W16" t="s">
        <v>102</v>
      </c>
      <c r="Z16" t="s">
        <v>103</v>
      </c>
      <c r="AG16" t="s">
        <v>90</v>
      </c>
      <c r="AL16" t="s">
        <v>104</v>
      </c>
      <c r="AN16" s="3" t="s">
        <v>105</v>
      </c>
      <c r="AP16" t="s">
        <v>106</v>
      </c>
      <c r="AU16" t="s">
        <v>107</v>
      </c>
      <c r="AV16" t="s">
        <v>108</v>
      </c>
    </row>
    <row r="17" spans="1:48" x14ac:dyDescent="0.3">
      <c r="A17" t="s">
        <v>109</v>
      </c>
      <c r="B17" t="s">
        <v>110</v>
      </c>
      <c r="D17" t="s">
        <v>84</v>
      </c>
      <c r="F17" t="s">
        <v>111</v>
      </c>
      <c r="I17" t="s">
        <v>112</v>
      </c>
      <c r="K17" s="1" t="s">
        <v>113</v>
      </c>
      <c r="O17" t="s">
        <v>52</v>
      </c>
      <c r="P17" t="s">
        <v>52</v>
      </c>
      <c r="Q17" t="s">
        <v>52</v>
      </c>
      <c r="R17">
        <v>14.930999999999999</v>
      </c>
      <c r="S17" s="2">
        <v>18.87</v>
      </c>
      <c r="T17" t="s">
        <v>114</v>
      </c>
      <c r="W17" t="s">
        <v>115</v>
      </c>
      <c r="Z17" t="s">
        <v>116</v>
      </c>
      <c r="AG17" t="s">
        <v>117</v>
      </c>
      <c r="AL17" t="s">
        <v>118</v>
      </c>
      <c r="AN17" s="1" t="s">
        <v>119</v>
      </c>
      <c r="AP17" t="s">
        <v>120</v>
      </c>
      <c r="AU17" t="s">
        <v>107</v>
      </c>
      <c r="AV17" t="s">
        <v>121</v>
      </c>
    </row>
    <row r="18" spans="1:48" x14ac:dyDescent="0.3">
      <c r="A18" t="s">
        <v>122</v>
      </c>
      <c r="B18" t="s">
        <v>71</v>
      </c>
      <c r="D18" t="s">
        <v>123</v>
      </c>
      <c r="F18" t="s">
        <v>124</v>
      </c>
      <c r="I18" t="s">
        <v>125</v>
      </c>
      <c r="K18" t="s">
        <v>126</v>
      </c>
      <c r="O18" t="s">
        <v>52</v>
      </c>
      <c r="P18" t="s">
        <v>52</v>
      </c>
      <c r="Q18" t="s">
        <v>52</v>
      </c>
      <c r="R18">
        <v>14.53</v>
      </c>
      <c r="S18" s="2">
        <v>18.47</v>
      </c>
      <c r="T18" t="s">
        <v>127</v>
      </c>
      <c r="W18" t="s">
        <v>128</v>
      </c>
      <c r="Z18" t="s">
        <v>129</v>
      </c>
      <c r="AG18" t="s">
        <v>74</v>
      </c>
      <c r="AL18" t="s">
        <v>130</v>
      </c>
      <c r="AN18" s="1" t="s">
        <v>131</v>
      </c>
      <c r="AP18" t="s">
        <v>132</v>
      </c>
      <c r="AU18" t="s">
        <v>133</v>
      </c>
      <c r="AV18" t="s">
        <v>134</v>
      </c>
    </row>
    <row r="19" spans="1:48" x14ac:dyDescent="0.3">
      <c r="A19" t="s">
        <v>135</v>
      </c>
      <c r="B19" t="s">
        <v>136</v>
      </c>
      <c r="D19" t="s">
        <v>71</v>
      </c>
      <c r="F19" t="s">
        <v>137</v>
      </c>
      <c r="I19" t="s">
        <v>138</v>
      </c>
      <c r="K19" t="s">
        <v>139</v>
      </c>
      <c r="O19" t="s">
        <v>52</v>
      </c>
      <c r="P19" t="s">
        <v>52</v>
      </c>
      <c r="Q19" t="s">
        <v>52</v>
      </c>
      <c r="R19">
        <v>13.805</v>
      </c>
      <c r="S19" s="2">
        <v>20.8</v>
      </c>
      <c r="T19" t="s">
        <v>141</v>
      </c>
      <c r="W19" t="s">
        <v>142</v>
      </c>
      <c r="Z19" t="s">
        <v>143</v>
      </c>
      <c r="AG19" t="s">
        <v>90</v>
      </c>
      <c r="AL19" t="s">
        <v>144</v>
      </c>
      <c r="AN19" s="1" t="s">
        <v>145</v>
      </c>
      <c r="AP19" t="s">
        <v>146</v>
      </c>
      <c r="AU19" t="s">
        <v>147</v>
      </c>
      <c r="AV19" t="s">
        <v>60</v>
      </c>
    </row>
    <row r="20" spans="1:48" x14ac:dyDescent="0.3">
      <c r="A20" t="s">
        <v>148</v>
      </c>
      <c r="B20" t="s">
        <v>97</v>
      </c>
      <c r="D20" t="s">
        <v>79</v>
      </c>
      <c r="F20" t="s">
        <v>149</v>
      </c>
      <c r="I20" t="s">
        <v>150</v>
      </c>
      <c r="K20" t="s">
        <v>151</v>
      </c>
      <c r="O20" t="s">
        <v>52</v>
      </c>
      <c r="P20" t="s">
        <v>52</v>
      </c>
      <c r="Q20" t="s">
        <v>52</v>
      </c>
      <c r="R20">
        <v>10.976000000000001</v>
      </c>
      <c r="S20" s="2">
        <v>14.07</v>
      </c>
      <c r="T20" t="s">
        <v>152</v>
      </c>
      <c r="W20" t="s">
        <v>153</v>
      </c>
      <c r="Z20" t="s">
        <v>154</v>
      </c>
      <c r="AG20" t="s">
        <v>90</v>
      </c>
      <c r="AL20" t="s">
        <v>155</v>
      </c>
      <c r="AN20" t="s">
        <v>156</v>
      </c>
      <c r="AP20" t="s">
        <v>157</v>
      </c>
      <c r="AU20" t="s">
        <v>71</v>
      </c>
      <c r="AV20" t="s">
        <v>158</v>
      </c>
    </row>
    <row r="21" spans="1:48" x14ac:dyDescent="0.3">
      <c r="A21" t="s">
        <v>159</v>
      </c>
      <c r="B21" t="s">
        <v>160</v>
      </c>
      <c r="D21" t="s">
        <v>160</v>
      </c>
      <c r="F21" t="s">
        <v>161</v>
      </c>
      <c r="O21" t="s">
        <v>52</v>
      </c>
      <c r="P21" t="s">
        <v>52</v>
      </c>
      <c r="Q21" t="s">
        <v>52</v>
      </c>
      <c r="R21">
        <v>9.5679999999999996</v>
      </c>
      <c r="S21" s="2">
        <v>12.02</v>
      </c>
      <c r="T21" t="s">
        <v>53</v>
      </c>
      <c r="W21" t="s">
        <v>53</v>
      </c>
      <c r="Z21" t="s">
        <v>162</v>
      </c>
      <c r="AG21" t="s">
        <v>108</v>
      </c>
      <c r="AL21" t="s">
        <v>163</v>
      </c>
      <c r="AN21" s="3" t="s">
        <v>164</v>
      </c>
      <c r="AP21" t="s">
        <v>165</v>
      </c>
      <c r="AU21" t="s">
        <v>107</v>
      </c>
      <c r="AV21" t="s">
        <v>60</v>
      </c>
    </row>
    <row r="22" spans="1:48" x14ac:dyDescent="0.3">
      <c r="A22" t="s">
        <v>166</v>
      </c>
      <c r="B22" t="s">
        <v>167</v>
      </c>
      <c r="D22" t="s">
        <v>73</v>
      </c>
      <c r="F22" t="s">
        <v>168</v>
      </c>
      <c r="O22" t="s">
        <v>52</v>
      </c>
      <c r="P22" t="s">
        <v>52</v>
      </c>
      <c r="Q22" t="s">
        <v>52</v>
      </c>
      <c r="R22">
        <v>8.07</v>
      </c>
      <c r="S22" s="2">
        <v>13.972</v>
      </c>
      <c r="V22" t="s">
        <v>169</v>
      </c>
      <c r="AB22" t="s">
        <v>170</v>
      </c>
      <c r="AD22" t="s">
        <v>171</v>
      </c>
      <c r="AF22" t="s">
        <v>172</v>
      </c>
      <c r="AL22" t="s">
        <v>173</v>
      </c>
      <c r="AN22" s="1" t="s">
        <v>174</v>
      </c>
      <c r="AP22" t="s">
        <v>175</v>
      </c>
      <c r="AU22" t="s">
        <v>107</v>
      </c>
      <c r="AV22" t="s">
        <v>133</v>
      </c>
    </row>
    <row r="23" spans="1:48" x14ac:dyDescent="0.3">
      <c r="A23" t="s">
        <v>176</v>
      </c>
      <c r="B23" t="s">
        <v>177</v>
      </c>
      <c r="D23" t="s">
        <v>60</v>
      </c>
      <c r="F23" t="s">
        <v>178</v>
      </c>
      <c r="O23" t="s">
        <v>52</v>
      </c>
      <c r="P23" t="s">
        <v>52</v>
      </c>
      <c r="Q23" t="s">
        <v>52</v>
      </c>
      <c r="R23">
        <v>7.2439999999999998</v>
      </c>
      <c r="S23" s="2">
        <v>11.24</v>
      </c>
      <c r="V23" t="s">
        <v>179</v>
      </c>
      <c r="AB23" t="s">
        <v>180</v>
      </c>
      <c r="AD23" t="s">
        <v>181</v>
      </c>
      <c r="AF23" t="s">
        <v>55</v>
      </c>
      <c r="AL23" t="s">
        <v>182</v>
      </c>
      <c r="AN23" t="s">
        <v>183</v>
      </c>
      <c r="AP23" t="s">
        <v>184</v>
      </c>
      <c r="AU23" t="s">
        <v>147</v>
      </c>
      <c r="AV23" t="s">
        <v>60</v>
      </c>
    </row>
    <row r="24" spans="1:48" x14ac:dyDescent="0.3">
      <c r="A24" t="s">
        <v>185</v>
      </c>
      <c r="B24" t="s">
        <v>160</v>
      </c>
      <c r="D24" t="s">
        <v>62</v>
      </c>
      <c r="F24" t="s">
        <v>186</v>
      </c>
      <c r="O24" t="s">
        <v>52</v>
      </c>
      <c r="P24" t="s">
        <v>52</v>
      </c>
      <c r="Q24" t="s">
        <v>52</v>
      </c>
      <c r="R24">
        <v>6.7149999999999999</v>
      </c>
      <c r="S24" s="2">
        <v>9.59</v>
      </c>
      <c r="V24" t="s">
        <v>187</v>
      </c>
      <c r="AB24" t="s">
        <v>188</v>
      </c>
      <c r="AD24" t="s">
        <v>189</v>
      </c>
      <c r="AF24" t="s">
        <v>63</v>
      </c>
      <c r="AL24" t="s">
        <v>163</v>
      </c>
      <c r="AN24" t="s">
        <v>190</v>
      </c>
      <c r="AP24" t="s">
        <v>191</v>
      </c>
      <c r="AU24" t="s">
        <v>107</v>
      </c>
      <c r="AV24" t="s">
        <v>133</v>
      </c>
    </row>
    <row r="25" spans="1:48" x14ac:dyDescent="0.3">
      <c r="A25" t="s">
        <v>192</v>
      </c>
      <c r="B25" t="s">
        <v>193</v>
      </c>
      <c r="D25" t="s">
        <v>194</v>
      </c>
      <c r="F25" t="s">
        <v>195</v>
      </c>
      <c r="O25" t="s">
        <v>52</v>
      </c>
      <c r="P25" t="s">
        <v>52</v>
      </c>
      <c r="Q25" t="s">
        <v>52</v>
      </c>
      <c r="R25">
        <v>7.7</v>
      </c>
      <c r="S25" s="2">
        <v>9.3699999999999992</v>
      </c>
      <c r="V25" t="s">
        <v>53</v>
      </c>
      <c r="AB25" t="s">
        <v>53</v>
      </c>
      <c r="AD25" t="s">
        <v>54</v>
      </c>
      <c r="AF25" t="s">
        <v>121</v>
      </c>
      <c r="AL25" t="s">
        <v>197</v>
      </c>
      <c r="AN25" s="1" t="s">
        <v>198</v>
      </c>
      <c r="AP25" t="s">
        <v>199</v>
      </c>
      <c r="AU25" t="s">
        <v>147</v>
      </c>
      <c r="AV25" t="s">
        <v>60</v>
      </c>
    </row>
    <row r="26" spans="1:48" x14ac:dyDescent="0.3">
      <c r="A26" t="s">
        <v>200</v>
      </c>
      <c r="B26" t="s">
        <v>201</v>
      </c>
      <c r="D26" t="s">
        <v>63</v>
      </c>
      <c r="F26" t="s">
        <v>202</v>
      </c>
      <c r="O26" t="s">
        <v>52</v>
      </c>
      <c r="P26" t="s">
        <v>52</v>
      </c>
      <c r="Q26" t="s">
        <v>52</v>
      </c>
      <c r="R26">
        <v>8.7609999999999992</v>
      </c>
      <c r="S26" s="2">
        <v>12.01</v>
      </c>
      <c r="V26" t="s">
        <v>203</v>
      </c>
      <c r="AB26" t="s">
        <v>204</v>
      </c>
      <c r="AD26" t="s">
        <v>205</v>
      </c>
      <c r="AF26" t="s">
        <v>206</v>
      </c>
      <c r="AL26" t="s">
        <v>91</v>
      </c>
      <c r="AN26" s="1" t="s">
        <v>207</v>
      </c>
      <c r="AP26" t="s">
        <v>208</v>
      </c>
      <c r="AU26" t="s">
        <v>147</v>
      </c>
      <c r="AV26" t="s">
        <v>94</v>
      </c>
    </row>
    <row r="27" spans="1:48" x14ac:dyDescent="0.3">
      <c r="A27" t="s">
        <v>209</v>
      </c>
      <c r="B27" t="s">
        <v>172</v>
      </c>
      <c r="D27" t="s">
        <v>117</v>
      </c>
      <c r="F27" t="s">
        <v>210</v>
      </c>
      <c r="O27" t="s">
        <v>52</v>
      </c>
      <c r="P27" t="s">
        <v>52</v>
      </c>
      <c r="Q27" t="s">
        <v>52</v>
      </c>
      <c r="R27">
        <v>10.07</v>
      </c>
      <c r="S27" s="2">
        <v>14.1</v>
      </c>
      <c r="T27" t="s">
        <v>212</v>
      </c>
      <c r="W27" t="s">
        <v>213</v>
      </c>
      <c r="Z27" t="s">
        <v>214</v>
      </c>
      <c r="AG27" t="s">
        <v>60</v>
      </c>
      <c r="AL27" t="s">
        <v>215</v>
      </c>
      <c r="AN27" t="s">
        <v>190</v>
      </c>
      <c r="AP27" t="s">
        <v>216</v>
      </c>
      <c r="AU27" t="s">
        <v>71</v>
      </c>
      <c r="AV27" t="s">
        <v>56</v>
      </c>
    </row>
    <row r="28" spans="1:48" x14ac:dyDescent="0.3">
      <c r="A28" t="s">
        <v>217</v>
      </c>
      <c r="B28" t="s">
        <v>167</v>
      </c>
      <c r="D28" t="s">
        <v>74</v>
      </c>
      <c r="F28" t="s">
        <v>218</v>
      </c>
      <c r="I28" t="s">
        <v>219</v>
      </c>
      <c r="K28" s="1" t="s">
        <v>220</v>
      </c>
      <c r="O28" t="s">
        <v>52</v>
      </c>
      <c r="P28" t="s">
        <v>52</v>
      </c>
      <c r="Q28" t="s">
        <v>52</v>
      </c>
      <c r="R28">
        <v>9.4770000000000003</v>
      </c>
      <c r="S28" s="2">
        <v>14.46</v>
      </c>
      <c r="T28" t="s">
        <v>221</v>
      </c>
      <c r="W28" t="s">
        <v>222</v>
      </c>
      <c r="Z28" t="s">
        <v>223</v>
      </c>
      <c r="AG28" t="s">
        <v>63</v>
      </c>
      <c r="AL28" t="s">
        <v>224</v>
      </c>
      <c r="AN28" s="1" t="s">
        <v>225</v>
      </c>
      <c r="AP28" t="s">
        <v>226</v>
      </c>
      <c r="AU28" t="s">
        <v>147</v>
      </c>
      <c r="AV28" t="s">
        <v>134</v>
      </c>
    </row>
    <row r="29" spans="1:48" x14ac:dyDescent="0.3">
      <c r="A29" t="s">
        <v>227</v>
      </c>
      <c r="B29" t="s">
        <v>167</v>
      </c>
      <c r="D29" t="s">
        <v>228</v>
      </c>
      <c r="F29" t="s">
        <v>229</v>
      </c>
      <c r="I29" t="s">
        <v>230</v>
      </c>
      <c r="K29" s="1" t="s">
        <v>231</v>
      </c>
      <c r="O29" t="s">
        <v>52</v>
      </c>
      <c r="P29" t="s">
        <v>52</v>
      </c>
      <c r="Q29" t="s">
        <v>52</v>
      </c>
      <c r="R29">
        <v>8.2430000000000003</v>
      </c>
      <c r="S29" s="2">
        <v>10.67</v>
      </c>
      <c r="T29" t="s">
        <v>232</v>
      </c>
      <c r="W29" t="s">
        <v>233</v>
      </c>
      <c r="Z29" t="s">
        <v>234</v>
      </c>
      <c r="AG29" t="s">
        <v>70</v>
      </c>
      <c r="AL29" t="s">
        <v>235</v>
      </c>
      <c r="AN29" t="s">
        <v>236</v>
      </c>
      <c r="AP29" t="s">
        <v>237</v>
      </c>
      <c r="AU29" t="s">
        <v>147</v>
      </c>
      <c r="AV29" t="s">
        <v>56</v>
      </c>
    </row>
    <row r="30" spans="1:48" x14ac:dyDescent="0.3">
      <c r="A30" t="s">
        <v>238</v>
      </c>
      <c r="B30" t="s">
        <v>55</v>
      </c>
      <c r="D30" t="s">
        <v>107</v>
      </c>
      <c r="F30" t="s">
        <v>239</v>
      </c>
      <c r="I30" t="s">
        <v>240</v>
      </c>
      <c r="K30" s="1" t="s">
        <v>241</v>
      </c>
      <c r="O30" t="s">
        <v>52</v>
      </c>
      <c r="P30" t="s">
        <v>52</v>
      </c>
      <c r="Q30" t="s">
        <v>52</v>
      </c>
      <c r="R30">
        <v>6.3259999999999996</v>
      </c>
      <c r="S30" s="2">
        <v>8.67</v>
      </c>
      <c r="T30" t="s">
        <v>242</v>
      </c>
      <c r="W30" t="s">
        <v>243</v>
      </c>
      <c r="Z30" t="s">
        <v>244</v>
      </c>
      <c r="AG30" t="s">
        <v>245</v>
      </c>
      <c r="AL30" t="s">
        <v>246</v>
      </c>
      <c r="AN30" s="1" t="s">
        <v>247</v>
      </c>
      <c r="AP30" t="s">
        <v>248</v>
      </c>
      <c r="AU30" t="s">
        <v>71</v>
      </c>
      <c r="AV30" t="s">
        <v>249</v>
      </c>
    </row>
    <row r="31" spans="1:48" x14ac:dyDescent="0.3">
      <c r="A31" t="s">
        <v>250</v>
      </c>
      <c r="B31" s="1" t="s">
        <v>251</v>
      </c>
      <c r="D31" t="s">
        <v>252</v>
      </c>
      <c r="F31" t="s">
        <v>253</v>
      </c>
      <c r="I31" t="s">
        <v>254</v>
      </c>
      <c r="K31" s="1" t="s">
        <v>255</v>
      </c>
      <c r="O31" t="s">
        <v>52</v>
      </c>
      <c r="P31" t="s">
        <v>52</v>
      </c>
      <c r="Q31" t="s">
        <v>52</v>
      </c>
      <c r="R31">
        <v>10.707000000000001</v>
      </c>
      <c r="S31" s="2">
        <v>14.91</v>
      </c>
      <c r="T31" t="s">
        <v>256</v>
      </c>
      <c r="W31" t="s">
        <v>257</v>
      </c>
      <c r="Z31" t="s">
        <v>258</v>
      </c>
      <c r="AG31" t="s">
        <v>59</v>
      </c>
      <c r="AL31" t="s">
        <v>259</v>
      </c>
      <c r="AN31" s="1" t="s">
        <v>260</v>
      </c>
      <c r="AP31" t="s">
        <v>261</v>
      </c>
      <c r="AU31" t="s">
        <v>71</v>
      </c>
      <c r="AV31" t="s">
        <v>249</v>
      </c>
    </row>
    <row r="32" spans="1:48" x14ac:dyDescent="0.3">
      <c r="A32" t="s">
        <v>262</v>
      </c>
      <c r="B32" s="3" t="s">
        <v>263</v>
      </c>
      <c r="D32" t="s">
        <v>264</v>
      </c>
      <c r="F32" t="s">
        <v>265</v>
      </c>
      <c r="I32" t="s">
        <v>266</v>
      </c>
      <c r="K32" s="1" t="s">
        <v>267</v>
      </c>
      <c r="O32" t="s">
        <v>52</v>
      </c>
      <c r="P32" t="s">
        <v>52</v>
      </c>
      <c r="Q32" t="s">
        <v>52</v>
      </c>
      <c r="R32">
        <v>8.7260000000000009</v>
      </c>
      <c r="S32" s="2">
        <v>16.510000000000002</v>
      </c>
      <c r="T32" t="s">
        <v>268</v>
      </c>
      <c r="W32" t="s">
        <v>269</v>
      </c>
      <c r="Z32" t="s">
        <v>270</v>
      </c>
      <c r="AG32" t="s">
        <v>63</v>
      </c>
      <c r="AL32" t="s">
        <v>271</v>
      </c>
      <c r="AN32" s="1" t="s">
        <v>272</v>
      </c>
      <c r="AP32" t="s">
        <v>273</v>
      </c>
      <c r="AU32" t="s">
        <v>71</v>
      </c>
      <c r="AV32" t="s">
        <v>274</v>
      </c>
    </row>
    <row r="33" spans="1:48" x14ac:dyDescent="0.3">
      <c r="A33" t="s">
        <v>275</v>
      </c>
      <c r="B33" t="s">
        <v>274</v>
      </c>
      <c r="D33" t="s">
        <v>276</v>
      </c>
      <c r="F33" t="s">
        <v>277</v>
      </c>
      <c r="O33" t="s">
        <v>52</v>
      </c>
      <c r="P33" t="s">
        <v>52</v>
      </c>
      <c r="Q33" t="s">
        <v>52</v>
      </c>
      <c r="R33">
        <v>7.4470000000000001</v>
      </c>
      <c r="S33" s="2">
        <v>10.73</v>
      </c>
      <c r="T33" t="s">
        <v>278</v>
      </c>
      <c r="W33" t="s">
        <v>279</v>
      </c>
      <c r="Z33" t="s">
        <v>280</v>
      </c>
      <c r="AG33" t="s">
        <v>228</v>
      </c>
      <c r="AL33" t="s">
        <v>281</v>
      </c>
      <c r="AN33" s="1" t="s">
        <v>130</v>
      </c>
      <c r="AP33" t="s">
        <v>282</v>
      </c>
      <c r="AU33" t="s">
        <v>71</v>
      </c>
      <c r="AV33" t="s">
        <v>134</v>
      </c>
    </row>
    <row r="34" spans="1:48" x14ac:dyDescent="0.3">
      <c r="A34" t="s">
        <v>283</v>
      </c>
      <c r="B34" t="s">
        <v>84</v>
      </c>
      <c r="D34" t="s">
        <v>284</v>
      </c>
      <c r="F34" t="s">
        <v>285</v>
      </c>
      <c r="O34" t="s">
        <v>52</v>
      </c>
      <c r="P34" t="s">
        <v>52</v>
      </c>
      <c r="Q34" t="s">
        <v>52</v>
      </c>
      <c r="R34" s="2">
        <v>6.4210000000000003</v>
      </c>
      <c r="S34" s="2">
        <v>10.92</v>
      </c>
      <c r="V34" t="s">
        <v>286</v>
      </c>
      <c r="AB34" t="s">
        <v>287</v>
      </c>
      <c r="AD34" t="s">
        <v>288</v>
      </c>
      <c r="AF34" t="s">
        <v>55</v>
      </c>
      <c r="AL34" t="s">
        <v>249</v>
      </c>
      <c r="AN34" t="s">
        <v>289</v>
      </c>
      <c r="AP34" t="s">
        <v>290</v>
      </c>
      <c r="AU34" t="s">
        <v>228</v>
      </c>
      <c r="AV34" t="s">
        <v>134</v>
      </c>
    </row>
    <row r="35" spans="1:48" x14ac:dyDescent="0.3">
      <c r="A35" t="s">
        <v>291</v>
      </c>
      <c r="B35" t="s">
        <v>194</v>
      </c>
      <c r="D35" t="s">
        <v>97</v>
      </c>
      <c r="F35" t="s">
        <v>292</v>
      </c>
      <c r="O35" t="s">
        <v>52</v>
      </c>
      <c r="P35" t="s">
        <v>52</v>
      </c>
      <c r="Q35" t="s">
        <v>52</v>
      </c>
      <c r="R35" s="2">
        <v>5.9770000000000003</v>
      </c>
      <c r="S35" s="2">
        <v>6.67</v>
      </c>
      <c r="V35" t="s">
        <v>53</v>
      </c>
      <c r="AB35" t="s">
        <v>53</v>
      </c>
      <c r="AD35" t="s">
        <v>65</v>
      </c>
      <c r="AF35" t="s">
        <v>251</v>
      </c>
      <c r="AL35" t="s">
        <v>293</v>
      </c>
      <c r="AN35" t="s">
        <v>294</v>
      </c>
      <c r="AP35" t="s">
        <v>295</v>
      </c>
      <c r="AU35" t="s">
        <v>228</v>
      </c>
      <c r="AV35" t="s">
        <v>133</v>
      </c>
    </row>
    <row r="36" spans="1:48" x14ac:dyDescent="0.3">
      <c r="A36" t="s">
        <v>296</v>
      </c>
      <c r="B36" t="s">
        <v>297</v>
      </c>
      <c r="D36" t="s">
        <v>298</v>
      </c>
      <c r="F36" t="s">
        <v>299</v>
      </c>
      <c r="O36" t="s">
        <v>52</v>
      </c>
      <c r="P36" t="s">
        <v>52</v>
      </c>
      <c r="Q36" t="s">
        <v>52</v>
      </c>
      <c r="R36" s="2">
        <v>6.0190000000000001</v>
      </c>
      <c r="S36" s="2">
        <v>7.26</v>
      </c>
      <c r="V36" t="s">
        <v>53</v>
      </c>
      <c r="AB36" t="s">
        <v>53</v>
      </c>
      <c r="AD36" t="s">
        <v>65</v>
      </c>
      <c r="AF36" t="s">
        <v>301</v>
      </c>
      <c r="AL36" t="s">
        <v>301</v>
      </c>
      <c r="AN36" t="s">
        <v>252</v>
      </c>
      <c r="AP36" t="s">
        <v>302</v>
      </c>
      <c r="AU36" t="s">
        <v>228</v>
      </c>
      <c r="AV36" t="s">
        <v>133</v>
      </c>
    </row>
    <row r="37" spans="1:48" x14ac:dyDescent="0.3">
      <c r="A37" t="s">
        <v>303</v>
      </c>
      <c r="B37" t="s">
        <v>304</v>
      </c>
      <c r="D37" t="s">
        <v>305</v>
      </c>
      <c r="F37" t="s">
        <v>306</v>
      </c>
      <c r="O37" t="s">
        <v>52</v>
      </c>
      <c r="P37" t="s">
        <v>52</v>
      </c>
      <c r="Q37" t="s">
        <v>52</v>
      </c>
      <c r="R37" s="2">
        <v>9.4329999999999998</v>
      </c>
      <c r="S37" s="2">
        <v>37.235999999999997</v>
      </c>
      <c r="V37" t="s">
        <v>53</v>
      </c>
      <c r="AB37" t="s">
        <v>53</v>
      </c>
      <c r="AD37" t="s">
        <v>65</v>
      </c>
      <c r="AF37" t="s">
        <v>63</v>
      </c>
      <c r="AL37" t="s">
        <v>307</v>
      </c>
      <c r="AN37" t="s">
        <v>308</v>
      </c>
      <c r="AP37" t="s">
        <v>309</v>
      </c>
      <c r="AU37" t="s">
        <v>228</v>
      </c>
      <c r="AV37" t="s">
        <v>158</v>
      </c>
    </row>
    <row r="38" spans="1:48" x14ac:dyDescent="0.3">
      <c r="A38" t="s">
        <v>310</v>
      </c>
      <c r="B38" t="s">
        <v>158</v>
      </c>
      <c r="D38" s="3" t="s">
        <v>311</v>
      </c>
      <c r="F38" t="s">
        <v>312</v>
      </c>
      <c r="O38" t="s">
        <v>52</v>
      </c>
      <c r="P38" t="s">
        <v>52</v>
      </c>
      <c r="Q38" t="s">
        <v>52</v>
      </c>
      <c r="R38" s="2">
        <v>6.78</v>
      </c>
      <c r="S38" s="2">
        <v>8.83</v>
      </c>
      <c r="V38" t="s">
        <v>314</v>
      </c>
      <c r="AB38" t="s">
        <v>315</v>
      </c>
      <c r="AD38" t="s">
        <v>316</v>
      </c>
      <c r="AF38" t="s">
        <v>70</v>
      </c>
      <c r="AL38" t="s">
        <v>317</v>
      </c>
      <c r="AN38" s="3" t="s">
        <v>318</v>
      </c>
      <c r="AP38" t="s">
        <v>319</v>
      </c>
      <c r="AU38" t="s">
        <v>172</v>
      </c>
      <c r="AV38" t="s">
        <v>134</v>
      </c>
    </row>
    <row r="39" spans="1:48" x14ac:dyDescent="0.3">
      <c r="A39" t="s">
        <v>320</v>
      </c>
      <c r="B39" s="1" t="s">
        <v>321</v>
      </c>
      <c r="D39" t="s">
        <v>322</v>
      </c>
      <c r="F39" t="s">
        <v>323</v>
      </c>
      <c r="O39" t="s">
        <v>52</v>
      </c>
      <c r="P39" t="s">
        <v>52</v>
      </c>
      <c r="Q39" t="s">
        <v>52</v>
      </c>
      <c r="R39" s="2">
        <v>7.5549999999999997</v>
      </c>
      <c r="S39" s="2">
        <v>11.8</v>
      </c>
      <c r="T39" t="s">
        <v>324</v>
      </c>
      <c r="W39" t="s">
        <v>325</v>
      </c>
      <c r="Z39" t="s">
        <v>326</v>
      </c>
      <c r="AG39" t="s">
        <v>158</v>
      </c>
      <c r="AL39" t="s">
        <v>327</v>
      </c>
      <c r="AN39" s="1" t="s">
        <v>328</v>
      </c>
      <c r="AP39" t="s">
        <v>329</v>
      </c>
      <c r="AU39" t="s">
        <v>71</v>
      </c>
      <c r="AV39" t="s">
        <v>249</v>
      </c>
    </row>
    <row r="40" spans="1:48" x14ac:dyDescent="0.3">
      <c r="A40" t="s">
        <v>330</v>
      </c>
      <c r="B40" s="3" t="s">
        <v>331</v>
      </c>
      <c r="D40" t="s">
        <v>322</v>
      </c>
      <c r="F40" t="s">
        <v>332</v>
      </c>
      <c r="I40" t="s">
        <v>333</v>
      </c>
      <c r="K40" s="1" t="s">
        <v>334</v>
      </c>
      <c r="O40" t="s">
        <v>52</v>
      </c>
      <c r="P40" t="s">
        <v>52</v>
      </c>
      <c r="Q40" t="s">
        <v>52</v>
      </c>
      <c r="R40" s="2">
        <v>9.3859999999999992</v>
      </c>
      <c r="S40" s="2">
        <v>12.74</v>
      </c>
      <c r="T40" t="s">
        <v>335</v>
      </c>
      <c r="W40" t="s">
        <v>336</v>
      </c>
      <c r="Z40" t="s">
        <v>337</v>
      </c>
      <c r="AG40" t="s">
        <v>71</v>
      </c>
      <c r="AL40" t="s">
        <v>338</v>
      </c>
      <c r="AN40" s="1" t="s">
        <v>339</v>
      </c>
      <c r="AP40" t="s">
        <v>340</v>
      </c>
      <c r="AU40" t="s">
        <v>133</v>
      </c>
      <c r="AV40" t="s">
        <v>274</v>
      </c>
    </row>
    <row r="41" spans="1:48" x14ac:dyDescent="0.3">
      <c r="A41" t="s">
        <v>341</v>
      </c>
      <c r="B41" t="s">
        <v>50</v>
      </c>
      <c r="D41" t="s">
        <v>96</v>
      </c>
      <c r="F41" t="s">
        <v>342</v>
      </c>
      <c r="I41" t="s">
        <v>343</v>
      </c>
      <c r="K41" s="1" t="s">
        <v>344</v>
      </c>
      <c r="O41" t="s">
        <v>345</v>
      </c>
      <c r="P41" t="s">
        <v>346</v>
      </c>
      <c r="Q41" t="s">
        <v>346</v>
      </c>
      <c r="R41" s="2">
        <v>8.8789999999999996</v>
      </c>
      <c r="S41" s="2">
        <v>10.29</v>
      </c>
      <c r="T41" t="s">
        <v>53</v>
      </c>
      <c r="W41" t="s">
        <v>53</v>
      </c>
      <c r="Z41" t="s">
        <v>54</v>
      </c>
      <c r="AG41" t="s">
        <v>274</v>
      </c>
      <c r="AL41" t="s">
        <v>311</v>
      </c>
      <c r="AN41" t="s">
        <v>347</v>
      </c>
      <c r="AP41" t="s">
        <v>348</v>
      </c>
      <c r="AU41" t="s">
        <v>71</v>
      </c>
      <c r="AV41" t="s">
        <v>108</v>
      </c>
    </row>
    <row r="42" spans="1:48" x14ac:dyDescent="0.3">
      <c r="A42" t="s">
        <v>349</v>
      </c>
      <c r="B42" t="s">
        <v>304</v>
      </c>
      <c r="D42" t="s">
        <v>160</v>
      </c>
      <c r="F42" t="s">
        <v>350</v>
      </c>
      <c r="I42" t="s">
        <v>351</v>
      </c>
      <c r="K42" s="1" t="s">
        <v>352</v>
      </c>
      <c r="O42" t="s">
        <v>52</v>
      </c>
      <c r="P42" t="s">
        <v>52</v>
      </c>
      <c r="Q42" t="s">
        <v>52</v>
      </c>
      <c r="R42" s="2">
        <v>9.0449999999999999</v>
      </c>
      <c r="S42" s="2">
        <v>11.54</v>
      </c>
      <c r="T42" t="s">
        <v>353</v>
      </c>
      <c r="W42" t="s">
        <v>354</v>
      </c>
      <c r="Z42" t="s">
        <v>355</v>
      </c>
      <c r="AG42" t="s">
        <v>158</v>
      </c>
      <c r="AL42" t="s">
        <v>356</v>
      </c>
      <c r="AN42" t="s">
        <v>357</v>
      </c>
      <c r="AP42" t="s">
        <v>358</v>
      </c>
      <c r="AU42" t="s">
        <v>133</v>
      </c>
      <c r="AV42" t="s">
        <v>108</v>
      </c>
    </row>
    <row r="43" spans="1:48" x14ac:dyDescent="0.3">
      <c r="A43" t="s">
        <v>359</v>
      </c>
      <c r="B43" t="s">
        <v>305</v>
      </c>
      <c r="D43" t="s">
        <v>97</v>
      </c>
      <c r="F43" t="s">
        <v>360</v>
      </c>
      <c r="I43" t="s">
        <v>361</v>
      </c>
      <c r="K43" t="s">
        <v>362</v>
      </c>
      <c r="O43" t="s">
        <v>52</v>
      </c>
      <c r="P43" t="s">
        <v>52</v>
      </c>
      <c r="Q43" t="s">
        <v>52</v>
      </c>
      <c r="R43" s="2">
        <v>8.843</v>
      </c>
      <c r="S43" s="2">
        <v>9.9</v>
      </c>
      <c r="T43" t="s">
        <v>363</v>
      </c>
      <c r="W43" t="s">
        <v>245</v>
      </c>
      <c r="Z43" t="s">
        <v>364</v>
      </c>
      <c r="AG43" t="s">
        <v>172</v>
      </c>
      <c r="AL43" t="s">
        <v>147</v>
      </c>
      <c r="AN43" t="s">
        <v>158</v>
      </c>
      <c r="AP43" t="s">
        <v>365</v>
      </c>
      <c r="AU43" t="s">
        <v>71</v>
      </c>
      <c r="AV43" t="s">
        <v>121</v>
      </c>
    </row>
    <row r="44" spans="1:48" x14ac:dyDescent="0.3">
      <c r="A44" t="s">
        <v>366</v>
      </c>
      <c r="B44" t="s">
        <v>367</v>
      </c>
      <c r="D44" t="s">
        <v>368</v>
      </c>
      <c r="F44" t="s">
        <v>369</v>
      </c>
      <c r="I44" t="s">
        <v>370</v>
      </c>
      <c r="K44" t="s">
        <v>144</v>
      </c>
      <c r="O44" t="s">
        <v>52</v>
      </c>
      <c r="P44" t="s">
        <v>52</v>
      </c>
      <c r="Q44" t="s">
        <v>52</v>
      </c>
      <c r="R44" s="2">
        <v>8.9450000000000003</v>
      </c>
      <c r="S44" s="2">
        <v>10.47</v>
      </c>
      <c r="T44" t="s">
        <v>371</v>
      </c>
      <c r="W44" t="s">
        <v>372</v>
      </c>
      <c r="Z44" t="s">
        <v>373</v>
      </c>
      <c r="AG44" t="s">
        <v>172</v>
      </c>
      <c r="AL44" t="s">
        <v>374</v>
      </c>
      <c r="AN44" t="s">
        <v>356</v>
      </c>
      <c r="AP44" t="s">
        <v>375</v>
      </c>
      <c r="AU44" t="s">
        <v>172</v>
      </c>
      <c r="AV44" t="s">
        <v>121</v>
      </c>
    </row>
    <row r="45" spans="1:48" x14ac:dyDescent="0.3">
      <c r="A45" t="s">
        <v>376</v>
      </c>
      <c r="B45" t="s">
        <v>377</v>
      </c>
      <c r="D45" t="s">
        <v>378</v>
      </c>
      <c r="F45" t="s">
        <v>379</v>
      </c>
      <c r="O45" t="s">
        <v>52</v>
      </c>
      <c r="P45" t="s">
        <v>52</v>
      </c>
      <c r="Q45" t="s">
        <v>52</v>
      </c>
      <c r="R45" s="2">
        <v>8.7260000000000009</v>
      </c>
      <c r="S45" s="2">
        <v>10.26</v>
      </c>
      <c r="T45" t="s">
        <v>380</v>
      </c>
      <c r="W45" t="s">
        <v>381</v>
      </c>
      <c r="Z45" t="s">
        <v>382</v>
      </c>
      <c r="AG45" t="s">
        <v>56</v>
      </c>
      <c r="AL45" t="s">
        <v>249</v>
      </c>
      <c r="AN45" t="s">
        <v>383</v>
      </c>
      <c r="AP45" t="s">
        <v>384</v>
      </c>
      <c r="AU45" t="s">
        <v>107</v>
      </c>
      <c r="AV45" t="s">
        <v>108</v>
      </c>
    </row>
    <row r="46" spans="1:48" x14ac:dyDescent="0.3">
      <c r="A46" t="s">
        <v>385</v>
      </c>
      <c r="B46" t="s">
        <v>386</v>
      </c>
      <c r="D46" t="s">
        <v>201</v>
      </c>
      <c r="F46" t="s">
        <v>387</v>
      </c>
      <c r="O46" t="s">
        <v>52</v>
      </c>
      <c r="P46" t="s">
        <v>52</v>
      </c>
      <c r="Q46" t="s">
        <v>52</v>
      </c>
      <c r="R46" s="2">
        <v>7.6360000000000001</v>
      </c>
      <c r="S46" s="2">
        <v>9.1999999999999993</v>
      </c>
      <c r="V46" t="s">
        <v>389</v>
      </c>
      <c r="AB46" t="s">
        <v>390</v>
      </c>
      <c r="AD46" t="s">
        <v>391</v>
      </c>
      <c r="AF46" t="s">
        <v>134</v>
      </c>
      <c r="AL46" t="s">
        <v>276</v>
      </c>
      <c r="AN46" t="s">
        <v>392</v>
      </c>
      <c r="AP46" t="s">
        <v>393</v>
      </c>
      <c r="AU46" t="s">
        <v>107</v>
      </c>
      <c r="AV46" t="s">
        <v>121</v>
      </c>
    </row>
    <row r="47" spans="1:48" x14ac:dyDescent="0.3">
      <c r="A47" t="s">
        <v>394</v>
      </c>
      <c r="B47" t="s">
        <v>367</v>
      </c>
      <c r="D47" t="s">
        <v>305</v>
      </c>
      <c r="F47" t="s">
        <v>395</v>
      </c>
      <c r="O47" t="s">
        <v>52</v>
      </c>
      <c r="P47" t="s">
        <v>52</v>
      </c>
      <c r="Q47" t="s">
        <v>52</v>
      </c>
      <c r="R47" s="2">
        <v>6.7240000000000002</v>
      </c>
      <c r="S47" s="2">
        <v>7.87</v>
      </c>
      <c r="V47" t="s">
        <v>397</v>
      </c>
      <c r="AB47" t="s">
        <v>398</v>
      </c>
      <c r="AD47" t="s">
        <v>399</v>
      </c>
      <c r="AF47" t="s">
        <v>249</v>
      </c>
      <c r="AL47" t="s">
        <v>400</v>
      </c>
      <c r="AN47" t="s">
        <v>224</v>
      </c>
      <c r="AP47" t="s">
        <v>401</v>
      </c>
      <c r="AU47" t="s">
        <v>147</v>
      </c>
      <c r="AV47" t="s">
        <v>56</v>
      </c>
    </row>
    <row r="48" spans="1:48" x14ac:dyDescent="0.3">
      <c r="A48" t="s">
        <v>402</v>
      </c>
      <c r="B48" t="s">
        <v>403</v>
      </c>
      <c r="D48" t="s">
        <v>90</v>
      </c>
      <c r="F48" t="s">
        <v>404</v>
      </c>
      <c r="O48" t="s">
        <v>52</v>
      </c>
      <c r="P48" t="s">
        <v>52</v>
      </c>
      <c r="Q48" t="s">
        <v>52</v>
      </c>
      <c r="R48" s="2">
        <v>7.2629999999999999</v>
      </c>
      <c r="S48" s="2">
        <v>9.76</v>
      </c>
      <c r="V48" t="s">
        <v>405</v>
      </c>
      <c r="AB48" t="s">
        <v>245</v>
      </c>
      <c r="AD48" t="s">
        <v>406</v>
      </c>
      <c r="AF48" t="s">
        <v>133</v>
      </c>
      <c r="AL48" t="s">
        <v>407</v>
      </c>
      <c r="AN48" t="s">
        <v>183</v>
      </c>
      <c r="AP48" t="s">
        <v>408</v>
      </c>
      <c r="AR48" t="s">
        <v>409</v>
      </c>
      <c r="AS48" t="s">
        <v>410</v>
      </c>
      <c r="AT48" t="s">
        <v>410</v>
      </c>
      <c r="AU48" t="s">
        <v>107</v>
      </c>
      <c r="AV48" t="s">
        <v>66</v>
      </c>
    </row>
    <row r="49" spans="1:48" x14ac:dyDescent="0.3">
      <c r="A49" t="s">
        <v>411</v>
      </c>
      <c r="B49" t="s">
        <v>133</v>
      </c>
      <c r="D49" t="s">
        <v>289</v>
      </c>
      <c r="F49" t="s">
        <v>412</v>
      </c>
      <c r="O49" t="s">
        <v>52</v>
      </c>
      <c r="P49" t="s">
        <v>52</v>
      </c>
      <c r="Q49" t="s">
        <v>52</v>
      </c>
      <c r="R49" s="2">
        <v>9.1</v>
      </c>
      <c r="S49" s="2">
        <v>11.81</v>
      </c>
      <c r="V49" t="s">
        <v>413</v>
      </c>
      <c r="AB49" t="s">
        <v>414</v>
      </c>
      <c r="AD49" t="s">
        <v>415</v>
      </c>
      <c r="AF49" t="s">
        <v>400</v>
      </c>
      <c r="AL49" t="s">
        <v>416</v>
      </c>
      <c r="AN49" s="3" t="s">
        <v>417</v>
      </c>
      <c r="AP49" t="s">
        <v>418</v>
      </c>
      <c r="AR49" t="s">
        <v>409</v>
      </c>
      <c r="AS49" t="s">
        <v>419</v>
      </c>
      <c r="AT49" t="s">
        <v>419</v>
      </c>
      <c r="AU49" t="s">
        <v>172</v>
      </c>
      <c r="AV49" t="s">
        <v>249</v>
      </c>
    </row>
    <row r="50" spans="1:48" x14ac:dyDescent="0.3">
      <c r="A50" t="s">
        <v>420</v>
      </c>
      <c r="B50" t="s">
        <v>60</v>
      </c>
      <c r="D50" t="s">
        <v>60</v>
      </c>
      <c r="F50" t="s">
        <v>421</v>
      </c>
      <c r="O50" t="s">
        <v>52</v>
      </c>
      <c r="P50" t="s">
        <v>52</v>
      </c>
      <c r="Q50" t="s">
        <v>52</v>
      </c>
      <c r="R50" s="2">
        <v>8.9329999999999998</v>
      </c>
      <c r="S50" s="2">
        <v>10.51</v>
      </c>
      <c r="V50" t="s">
        <v>422</v>
      </c>
      <c r="AB50" t="s">
        <v>423</v>
      </c>
      <c r="AD50" t="s">
        <v>424</v>
      </c>
      <c r="AF50" t="s">
        <v>133</v>
      </c>
      <c r="AL50" t="s">
        <v>183</v>
      </c>
      <c r="AN50" t="s">
        <v>425</v>
      </c>
      <c r="AP50" t="s">
        <v>426</v>
      </c>
      <c r="AR50" t="s">
        <v>52</v>
      </c>
      <c r="AS50" t="s">
        <v>52</v>
      </c>
      <c r="AT50" t="s">
        <v>52</v>
      </c>
      <c r="AU50" t="s">
        <v>107</v>
      </c>
      <c r="AV50" t="s">
        <v>274</v>
      </c>
    </row>
    <row r="51" spans="1:48" x14ac:dyDescent="0.3">
      <c r="A51" t="s">
        <v>427</v>
      </c>
      <c r="B51" t="s">
        <v>79</v>
      </c>
      <c r="D51" t="s">
        <v>117</v>
      </c>
      <c r="F51" t="s">
        <v>428</v>
      </c>
      <c r="O51" t="s">
        <v>52</v>
      </c>
      <c r="P51" t="s">
        <v>52</v>
      </c>
      <c r="Q51" t="s">
        <v>52</v>
      </c>
      <c r="R51" s="2">
        <v>10.042999999999999</v>
      </c>
      <c r="S51" s="2">
        <v>12.97</v>
      </c>
      <c r="T51" t="s">
        <v>429</v>
      </c>
      <c r="W51" t="s">
        <v>430</v>
      </c>
      <c r="Z51" t="s">
        <v>431</v>
      </c>
      <c r="AG51" t="s">
        <v>55</v>
      </c>
      <c r="AL51" t="s">
        <v>432</v>
      </c>
      <c r="AN51" t="s">
        <v>433</v>
      </c>
      <c r="AP51" t="s">
        <v>434</v>
      </c>
      <c r="AR51" t="s">
        <v>409</v>
      </c>
      <c r="AS51" t="s">
        <v>435</v>
      </c>
      <c r="AT51" t="s">
        <v>435</v>
      </c>
      <c r="AU51" t="s">
        <v>133</v>
      </c>
      <c r="AV51" t="s">
        <v>121</v>
      </c>
    </row>
    <row r="52" spans="1:48" x14ac:dyDescent="0.3">
      <c r="A52" t="s">
        <v>436</v>
      </c>
      <c r="B52" t="s">
        <v>305</v>
      </c>
      <c r="D52" t="s">
        <v>110</v>
      </c>
      <c r="F52" t="s">
        <v>437</v>
      </c>
      <c r="I52" t="s">
        <v>206</v>
      </c>
      <c r="K52" t="s">
        <v>307</v>
      </c>
      <c r="O52" t="s">
        <v>52</v>
      </c>
      <c r="P52" t="s">
        <v>52</v>
      </c>
      <c r="Q52" t="s">
        <v>52</v>
      </c>
      <c r="R52" s="2">
        <v>8.9550000000000001</v>
      </c>
      <c r="S52" s="2">
        <v>9.9600000000000009</v>
      </c>
      <c r="T52" t="s">
        <v>438</v>
      </c>
      <c r="W52" t="s">
        <v>429</v>
      </c>
      <c r="Z52" t="s">
        <v>374</v>
      </c>
      <c r="AG52" t="s">
        <v>439</v>
      </c>
      <c r="AL52" t="s">
        <v>321</v>
      </c>
      <c r="AN52" t="s">
        <v>440</v>
      </c>
      <c r="AP52" t="s">
        <v>441</v>
      </c>
      <c r="AR52" t="s">
        <v>368</v>
      </c>
      <c r="AS52" t="s">
        <v>410</v>
      </c>
      <c r="AT52" t="s">
        <v>410</v>
      </c>
      <c r="AU52" t="s">
        <v>71</v>
      </c>
      <c r="AV52" t="s">
        <v>263</v>
      </c>
    </row>
    <row r="53" spans="1:48" x14ac:dyDescent="0.3">
      <c r="A53" t="s">
        <v>442</v>
      </c>
      <c r="B53" s="1" t="s">
        <v>251</v>
      </c>
      <c r="D53" s="1" t="s">
        <v>443</v>
      </c>
      <c r="F53" t="s">
        <v>444</v>
      </c>
      <c r="I53" t="s">
        <v>445</v>
      </c>
      <c r="K53" t="s">
        <v>307</v>
      </c>
      <c r="O53" t="s">
        <v>52</v>
      </c>
      <c r="P53" t="s">
        <v>52</v>
      </c>
      <c r="Q53" t="s">
        <v>52</v>
      </c>
      <c r="R53" s="2">
        <v>9.4580000000000002</v>
      </c>
      <c r="S53" s="2">
        <v>11.95</v>
      </c>
      <c r="T53" t="s">
        <v>438</v>
      </c>
      <c r="W53" t="s">
        <v>438</v>
      </c>
      <c r="Z53" t="s">
        <v>177</v>
      </c>
      <c r="AG53" t="s">
        <v>55</v>
      </c>
      <c r="AL53" t="s">
        <v>331</v>
      </c>
      <c r="AN53" t="s">
        <v>446</v>
      </c>
      <c r="AP53" t="s">
        <v>447</v>
      </c>
      <c r="AR53" t="s">
        <v>52</v>
      </c>
      <c r="AS53" t="s">
        <v>52</v>
      </c>
      <c r="AT53" t="s">
        <v>52</v>
      </c>
      <c r="AU53" t="s">
        <v>60</v>
      </c>
      <c r="AV53" t="s">
        <v>56</v>
      </c>
    </row>
    <row r="54" spans="1:48" x14ac:dyDescent="0.3">
      <c r="A54" t="s">
        <v>448</v>
      </c>
      <c r="B54" t="s">
        <v>449</v>
      </c>
      <c r="D54" t="s">
        <v>305</v>
      </c>
      <c r="F54" t="s">
        <v>450</v>
      </c>
      <c r="I54" t="s">
        <v>451</v>
      </c>
      <c r="K54" t="s">
        <v>452</v>
      </c>
      <c r="O54" t="s">
        <v>52</v>
      </c>
      <c r="P54" t="s">
        <v>52</v>
      </c>
      <c r="Q54" t="s">
        <v>52</v>
      </c>
      <c r="R54" s="2">
        <v>10.763999999999999</v>
      </c>
      <c r="S54" s="2">
        <v>13.92</v>
      </c>
      <c r="T54" t="s">
        <v>372</v>
      </c>
      <c r="W54" t="s">
        <v>363</v>
      </c>
      <c r="Z54" t="s">
        <v>259</v>
      </c>
      <c r="AG54" t="s">
        <v>55</v>
      </c>
      <c r="AL54" t="s">
        <v>453</v>
      </c>
      <c r="AN54" t="s">
        <v>211</v>
      </c>
      <c r="AP54" t="s">
        <v>454</v>
      </c>
      <c r="AR54" t="s">
        <v>52</v>
      </c>
      <c r="AS54" t="s">
        <v>52</v>
      </c>
      <c r="AT54" t="s">
        <v>52</v>
      </c>
      <c r="AU54" t="s">
        <v>133</v>
      </c>
      <c r="AV54" t="s">
        <v>108</v>
      </c>
    </row>
    <row r="55" spans="1:48" x14ac:dyDescent="0.3">
      <c r="A55" t="s">
        <v>455</v>
      </c>
      <c r="B55" t="s">
        <v>201</v>
      </c>
      <c r="D55" t="s">
        <v>136</v>
      </c>
      <c r="F55" t="s">
        <v>456</v>
      </c>
      <c r="I55" t="s">
        <v>457</v>
      </c>
      <c r="K55" t="s">
        <v>458</v>
      </c>
      <c r="O55" t="s">
        <v>52</v>
      </c>
      <c r="P55" t="s">
        <v>52</v>
      </c>
      <c r="Q55" t="s">
        <v>52</v>
      </c>
      <c r="R55" s="2">
        <v>8.7539999999999996</v>
      </c>
      <c r="S55" s="2">
        <v>10.45</v>
      </c>
      <c r="T55" t="s">
        <v>459</v>
      </c>
      <c r="W55" t="s">
        <v>460</v>
      </c>
      <c r="Z55" t="s">
        <v>461</v>
      </c>
      <c r="AG55" t="s">
        <v>134</v>
      </c>
      <c r="AL55" t="s">
        <v>117</v>
      </c>
      <c r="AN55" t="s">
        <v>462</v>
      </c>
      <c r="AP55" t="s">
        <v>463</v>
      </c>
      <c r="AR55" t="s">
        <v>52</v>
      </c>
      <c r="AS55" t="s">
        <v>52</v>
      </c>
      <c r="AT55" t="s">
        <v>52</v>
      </c>
      <c r="AU55" t="s">
        <v>133</v>
      </c>
      <c r="AV55" t="s">
        <v>56</v>
      </c>
    </row>
    <row r="56" spans="1:48" x14ac:dyDescent="0.3">
      <c r="A56" t="s">
        <v>464</v>
      </c>
      <c r="B56" t="s">
        <v>460</v>
      </c>
      <c r="D56" t="s">
        <v>194</v>
      </c>
      <c r="F56" t="s">
        <v>465</v>
      </c>
      <c r="I56" t="s">
        <v>410</v>
      </c>
      <c r="K56" t="s">
        <v>466</v>
      </c>
      <c r="O56" t="s">
        <v>52</v>
      </c>
      <c r="P56" t="s">
        <v>52</v>
      </c>
      <c r="Q56" t="s">
        <v>52</v>
      </c>
      <c r="R56" s="2">
        <v>9.0050000000000008</v>
      </c>
      <c r="S56" s="2">
        <v>12.77</v>
      </c>
      <c r="T56" t="s">
        <v>372</v>
      </c>
      <c r="W56" t="s">
        <v>371</v>
      </c>
      <c r="Z56" t="s">
        <v>467</v>
      </c>
      <c r="AG56" t="s">
        <v>56</v>
      </c>
      <c r="AL56" t="s">
        <v>133</v>
      </c>
      <c r="AN56" t="s">
        <v>206</v>
      </c>
      <c r="AP56" t="s">
        <v>468</v>
      </c>
      <c r="AR56" t="s">
        <v>52</v>
      </c>
      <c r="AS56" t="s">
        <v>52</v>
      </c>
      <c r="AT56" t="s">
        <v>52</v>
      </c>
      <c r="AU56" t="s">
        <v>228</v>
      </c>
      <c r="AV56" t="s">
        <v>108</v>
      </c>
    </row>
    <row r="57" spans="1:48" x14ac:dyDescent="0.3">
      <c r="A57" t="s">
        <v>469</v>
      </c>
      <c r="B57" t="s">
        <v>305</v>
      </c>
      <c r="D57" t="s">
        <v>110</v>
      </c>
      <c r="F57" t="s">
        <v>470</v>
      </c>
      <c r="O57" t="s">
        <v>52</v>
      </c>
      <c r="P57" t="s">
        <v>52</v>
      </c>
      <c r="Q57" t="s">
        <v>52</v>
      </c>
      <c r="R57" s="2">
        <v>8.2530000000000001</v>
      </c>
      <c r="S57" s="2">
        <v>9.4499999999999993</v>
      </c>
      <c r="T57" t="s">
        <v>438</v>
      </c>
      <c r="W57" t="s">
        <v>438</v>
      </c>
      <c r="Z57" t="s">
        <v>471</v>
      </c>
      <c r="AG57" t="s">
        <v>134</v>
      </c>
      <c r="AL57" t="s">
        <v>70</v>
      </c>
      <c r="AN57" t="s">
        <v>158</v>
      </c>
      <c r="AP57" t="s">
        <v>472</v>
      </c>
      <c r="AR57" t="s">
        <v>409</v>
      </c>
      <c r="AS57" t="s">
        <v>473</v>
      </c>
      <c r="AT57" t="s">
        <v>473</v>
      </c>
      <c r="AU57" t="s">
        <v>59</v>
      </c>
      <c r="AV57" t="s">
        <v>94</v>
      </c>
    </row>
    <row r="58" spans="1:48" x14ac:dyDescent="0.3">
      <c r="A58" t="s">
        <v>474</v>
      </c>
      <c r="B58" t="s">
        <v>304</v>
      </c>
      <c r="D58" t="s">
        <v>298</v>
      </c>
      <c r="F58" t="s">
        <v>475</v>
      </c>
      <c r="O58" t="s">
        <v>52</v>
      </c>
      <c r="P58" t="s">
        <v>52</v>
      </c>
      <c r="Q58" t="s">
        <v>52</v>
      </c>
      <c r="R58" s="2">
        <v>7.1980000000000004</v>
      </c>
      <c r="S58" s="2">
        <v>8.41</v>
      </c>
      <c r="V58" t="s">
        <v>476</v>
      </c>
      <c r="AB58" t="s">
        <v>477</v>
      </c>
      <c r="AD58" t="s">
        <v>305</v>
      </c>
      <c r="AF58" t="s">
        <v>121</v>
      </c>
      <c r="AL58" t="s">
        <v>60</v>
      </c>
      <c r="AN58" t="s">
        <v>478</v>
      </c>
      <c r="AP58" t="s">
        <v>479</v>
      </c>
      <c r="AR58" t="s">
        <v>409</v>
      </c>
      <c r="AS58" t="s">
        <v>435</v>
      </c>
      <c r="AT58" t="s">
        <v>435</v>
      </c>
      <c r="AU58" t="s">
        <v>107</v>
      </c>
      <c r="AV58" t="s">
        <v>274</v>
      </c>
    </row>
    <row r="59" spans="1:48" x14ac:dyDescent="0.3">
      <c r="A59" t="s">
        <v>480</v>
      </c>
      <c r="B59" t="s">
        <v>96</v>
      </c>
      <c r="D59" t="s">
        <v>160</v>
      </c>
      <c r="F59" t="s">
        <v>481</v>
      </c>
      <c r="O59" t="s">
        <v>52</v>
      </c>
      <c r="P59" t="s">
        <v>52</v>
      </c>
      <c r="Q59" t="s">
        <v>52</v>
      </c>
      <c r="R59" s="2">
        <v>6.2130000000000001</v>
      </c>
      <c r="S59" s="2">
        <v>7.25</v>
      </c>
      <c r="V59" t="s">
        <v>483</v>
      </c>
      <c r="AB59" t="s">
        <v>484</v>
      </c>
      <c r="AD59" t="s">
        <v>485</v>
      </c>
      <c r="AF59" t="s">
        <v>486</v>
      </c>
      <c r="AL59" t="s">
        <v>263</v>
      </c>
      <c r="AN59" t="s">
        <v>264</v>
      </c>
      <c r="AP59" t="s">
        <v>487</v>
      </c>
      <c r="AR59" t="s">
        <v>488</v>
      </c>
      <c r="AS59" t="s">
        <v>489</v>
      </c>
      <c r="AT59" t="s">
        <v>489</v>
      </c>
      <c r="AU59" t="s">
        <v>107</v>
      </c>
      <c r="AV59" t="s">
        <v>274</v>
      </c>
    </row>
    <row r="60" spans="1:48" x14ac:dyDescent="0.3">
      <c r="A60" t="s">
        <v>490</v>
      </c>
      <c r="B60" t="s">
        <v>298</v>
      </c>
      <c r="D60" t="s">
        <v>460</v>
      </c>
      <c r="F60" t="s">
        <v>491</v>
      </c>
      <c r="O60" t="s">
        <v>52</v>
      </c>
      <c r="P60" t="s">
        <v>52</v>
      </c>
      <c r="Q60" t="s">
        <v>52</v>
      </c>
      <c r="R60" s="2">
        <v>5.9820000000000002</v>
      </c>
      <c r="S60" s="2">
        <v>6.66</v>
      </c>
      <c r="V60" t="s">
        <v>345</v>
      </c>
      <c r="AB60" t="s">
        <v>492</v>
      </c>
      <c r="AD60" t="s">
        <v>493</v>
      </c>
      <c r="AF60" t="s">
        <v>400</v>
      </c>
      <c r="AL60" t="s">
        <v>59</v>
      </c>
      <c r="AN60" t="s">
        <v>133</v>
      </c>
      <c r="AP60" t="s">
        <v>494</v>
      </c>
      <c r="AU60" t="s">
        <v>55</v>
      </c>
      <c r="AV60" t="s">
        <v>94</v>
      </c>
    </row>
    <row r="61" spans="1:48" x14ac:dyDescent="0.3">
      <c r="A61" t="s">
        <v>495</v>
      </c>
      <c r="B61" t="s">
        <v>136</v>
      </c>
      <c r="D61" t="s">
        <v>107</v>
      </c>
      <c r="F61" t="s">
        <v>496</v>
      </c>
      <c r="O61" t="s">
        <v>52</v>
      </c>
      <c r="P61" t="s">
        <v>52</v>
      </c>
      <c r="Q61" t="s">
        <v>52</v>
      </c>
      <c r="R61" s="2">
        <v>6.5179999999999998</v>
      </c>
      <c r="S61" s="2">
        <v>8.2100000000000009</v>
      </c>
      <c r="V61" t="s">
        <v>497</v>
      </c>
      <c r="AB61" t="s">
        <v>498</v>
      </c>
      <c r="AD61" t="s">
        <v>499</v>
      </c>
      <c r="AF61" t="s">
        <v>121</v>
      </c>
      <c r="AL61" t="s">
        <v>500</v>
      </c>
      <c r="AN61" s="1" t="s">
        <v>501</v>
      </c>
      <c r="AP61" t="s">
        <v>502</v>
      </c>
      <c r="AU61" t="s">
        <v>172</v>
      </c>
      <c r="AV61" t="s">
        <v>134</v>
      </c>
    </row>
    <row r="62" spans="1:48" x14ac:dyDescent="0.3">
      <c r="A62" t="s">
        <v>503</v>
      </c>
      <c r="B62" t="s">
        <v>460</v>
      </c>
      <c r="D62" t="s">
        <v>96</v>
      </c>
      <c r="F62" t="s">
        <v>504</v>
      </c>
      <c r="O62" t="s">
        <v>52</v>
      </c>
      <c r="P62" t="s">
        <v>52</v>
      </c>
      <c r="Q62" t="s">
        <v>52</v>
      </c>
      <c r="R62" s="2">
        <v>7.2309999999999999</v>
      </c>
      <c r="S62" s="2">
        <v>8.02</v>
      </c>
      <c r="V62" t="s">
        <v>505</v>
      </c>
      <c r="AB62" t="s">
        <v>429</v>
      </c>
      <c r="AD62" t="s">
        <v>506</v>
      </c>
      <c r="AF62" t="s">
        <v>123</v>
      </c>
      <c r="AL62" t="s">
        <v>507</v>
      </c>
      <c r="AN62" t="s">
        <v>508</v>
      </c>
      <c r="AP62" t="s">
        <v>509</v>
      </c>
      <c r="AU62" t="s">
        <v>70</v>
      </c>
      <c r="AV62" t="s">
        <v>56</v>
      </c>
    </row>
    <row r="63" spans="1:48" x14ac:dyDescent="0.3">
      <c r="A63" t="s">
        <v>510</v>
      </c>
      <c r="B63" t="s">
        <v>367</v>
      </c>
      <c r="D63" t="s">
        <v>511</v>
      </c>
      <c r="F63" t="s">
        <v>512</v>
      </c>
      <c r="O63" t="s">
        <v>52</v>
      </c>
      <c r="P63" t="s">
        <v>52</v>
      </c>
      <c r="Q63" t="s">
        <v>52</v>
      </c>
      <c r="R63" s="2">
        <v>8.4469999999999992</v>
      </c>
      <c r="S63" s="2">
        <v>10.64</v>
      </c>
      <c r="T63" t="s">
        <v>438</v>
      </c>
      <c r="W63" t="s">
        <v>429</v>
      </c>
      <c r="Z63" t="s">
        <v>263</v>
      </c>
      <c r="AG63" t="s">
        <v>158</v>
      </c>
      <c r="AL63" t="s">
        <v>432</v>
      </c>
      <c r="AN63" s="1" t="s">
        <v>513</v>
      </c>
      <c r="AP63" t="s">
        <v>514</v>
      </c>
      <c r="AU63" t="s">
        <v>107</v>
      </c>
      <c r="AV63" t="s">
        <v>134</v>
      </c>
    </row>
    <row r="64" spans="1:48" x14ac:dyDescent="0.3">
      <c r="A64" t="s">
        <v>515</v>
      </c>
      <c r="B64" t="s">
        <v>516</v>
      </c>
      <c r="D64" t="s">
        <v>449</v>
      </c>
      <c r="F64" t="s">
        <v>517</v>
      </c>
      <c r="I64" t="s">
        <v>518</v>
      </c>
      <c r="K64" t="s">
        <v>519</v>
      </c>
      <c r="O64" t="s">
        <v>52</v>
      </c>
      <c r="P64" t="s">
        <v>52</v>
      </c>
      <c r="Q64" t="s">
        <v>52</v>
      </c>
      <c r="R64" s="2">
        <v>9.84</v>
      </c>
      <c r="S64" s="2">
        <v>12.38</v>
      </c>
      <c r="T64" t="s">
        <v>438</v>
      </c>
      <c r="W64" t="s">
        <v>438</v>
      </c>
      <c r="Z64" t="s">
        <v>194</v>
      </c>
      <c r="AG64" t="s">
        <v>94</v>
      </c>
      <c r="AL64" t="s">
        <v>97</v>
      </c>
      <c r="AN64" t="s">
        <v>521</v>
      </c>
      <c r="AP64" t="s">
        <v>522</v>
      </c>
      <c r="AU64" t="s">
        <v>228</v>
      </c>
      <c r="AV64" t="s">
        <v>108</v>
      </c>
    </row>
    <row r="65" spans="1:48" x14ac:dyDescent="0.3">
      <c r="A65" t="s">
        <v>523</v>
      </c>
      <c r="B65" t="s">
        <v>524</v>
      </c>
      <c r="D65" t="s">
        <v>525</v>
      </c>
      <c r="F65" t="s">
        <v>526</v>
      </c>
      <c r="I65" t="s">
        <v>527</v>
      </c>
      <c r="K65" t="s">
        <v>528</v>
      </c>
      <c r="O65" t="s">
        <v>52</v>
      </c>
      <c r="P65" t="s">
        <v>52</v>
      </c>
      <c r="Q65" t="s">
        <v>52</v>
      </c>
      <c r="R65" s="2">
        <v>9.8249999999999993</v>
      </c>
      <c r="S65" s="2">
        <v>10.89</v>
      </c>
      <c r="T65" t="s">
        <v>529</v>
      </c>
      <c r="W65" t="s">
        <v>429</v>
      </c>
      <c r="Z65" t="s">
        <v>530</v>
      </c>
      <c r="AG65" t="s">
        <v>134</v>
      </c>
      <c r="AL65" t="s">
        <v>460</v>
      </c>
      <c r="AN65" t="s">
        <v>531</v>
      </c>
      <c r="AP65" t="s">
        <v>532</v>
      </c>
      <c r="AU65" t="s">
        <v>147</v>
      </c>
      <c r="AV65" t="s">
        <v>60</v>
      </c>
    </row>
    <row r="66" spans="1:48" x14ac:dyDescent="0.3">
      <c r="A66" t="s">
        <v>533</v>
      </c>
      <c r="B66" t="s">
        <v>534</v>
      </c>
      <c r="D66" t="s">
        <v>535</v>
      </c>
      <c r="F66" t="s">
        <v>536</v>
      </c>
      <c r="I66" t="s">
        <v>537</v>
      </c>
      <c r="K66" t="s">
        <v>538</v>
      </c>
      <c r="O66" t="s">
        <v>52</v>
      </c>
      <c r="P66" t="s">
        <v>52</v>
      </c>
      <c r="Q66" t="s">
        <v>52</v>
      </c>
      <c r="R66" s="2">
        <v>8.8179999999999996</v>
      </c>
      <c r="S66" s="2">
        <v>11.1</v>
      </c>
      <c r="T66" t="s">
        <v>539</v>
      </c>
      <c r="W66" t="s">
        <v>539</v>
      </c>
      <c r="Z66" t="s">
        <v>540</v>
      </c>
      <c r="AG66" t="s">
        <v>147</v>
      </c>
      <c r="AL66" t="s">
        <v>471</v>
      </c>
      <c r="AN66" t="s">
        <v>541</v>
      </c>
      <c r="AP66" t="s">
        <v>542</v>
      </c>
      <c r="AU66" t="s">
        <v>147</v>
      </c>
      <c r="AV66" t="s">
        <v>249</v>
      </c>
    </row>
    <row r="67" spans="1:48" x14ac:dyDescent="0.3">
      <c r="A67" t="s">
        <v>543</v>
      </c>
      <c r="B67" t="s">
        <v>544</v>
      </c>
      <c r="D67" t="s">
        <v>471</v>
      </c>
      <c r="F67" t="s">
        <v>545</v>
      </c>
      <c r="I67" t="s">
        <v>546</v>
      </c>
      <c r="K67" s="1" t="s">
        <v>547</v>
      </c>
      <c r="O67" t="s">
        <v>52</v>
      </c>
      <c r="P67" t="s">
        <v>52</v>
      </c>
      <c r="Q67" t="s">
        <v>52</v>
      </c>
      <c r="R67" s="2">
        <v>9.3480000000000008</v>
      </c>
      <c r="S67" s="2">
        <v>11.08</v>
      </c>
      <c r="T67" t="s">
        <v>548</v>
      </c>
      <c r="W67" t="s">
        <v>549</v>
      </c>
      <c r="Z67" t="s">
        <v>550</v>
      </c>
      <c r="AG67" t="s">
        <v>74</v>
      </c>
      <c r="AL67" t="s">
        <v>63</v>
      </c>
      <c r="AN67" t="s">
        <v>117</v>
      </c>
      <c r="AP67" t="s">
        <v>551</v>
      </c>
      <c r="AU67" t="s">
        <v>228</v>
      </c>
      <c r="AV67" t="s">
        <v>158</v>
      </c>
    </row>
    <row r="68" spans="1:48" x14ac:dyDescent="0.3">
      <c r="A68" t="s">
        <v>552</v>
      </c>
      <c r="B68" t="s">
        <v>553</v>
      </c>
      <c r="D68" t="s">
        <v>554</v>
      </c>
      <c r="F68" t="s">
        <v>555</v>
      </c>
      <c r="I68" t="s">
        <v>556</v>
      </c>
      <c r="K68" t="s">
        <v>557</v>
      </c>
      <c r="O68" t="s">
        <v>52</v>
      </c>
      <c r="P68" t="s">
        <v>52</v>
      </c>
      <c r="Q68" t="s">
        <v>52</v>
      </c>
      <c r="R68" s="2">
        <v>9.4209999999999994</v>
      </c>
      <c r="S68" s="2">
        <v>10.25</v>
      </c>
      <c r="T68" t="s">
        <v>539</v>
      </c>
      <c r="W68" t="s">
        <v>539</v>
      </c>
      <c r="Z68" t="s">
        <v>558</v>
      </c>
      <c r="AG68" t="s">
        <v>172</v>
      </c>
      <c r="AL68" t="s">
        <v>110</v>
      </c>
      <c r="AN68" t="s">
        <v>531</v>
      </c>
      <c r="AP68" t="s">
        <v>559</v>
      </c>
      <c r="AU68" t="s">
        <v>147</v>
      </c>
      <c r="AV68" t="s">
        <v>71</v>
      </c>
    </row>
    <row r="69" spans="1:48" x14ac:dyDescent="0.3">
      <c r="A69" t="s">
        <v>560</v>
      </c>
      <c r="B69" t="s">
        <v>516</v>
      </c>
      <c r="D69" t="s">
        <v>297</v>
      </c>
      <c r="F69" t="s">
        <v>561</v>
      </c>
      <c r="O69" t="s">
        <v>52</v>
      </c>
      <c r="P69" t="s">
        <v>52</v>
      </c>
      <c r="Q69" t="s">
        <v>52</v>
      </c>
      <c r="R69" s="2">
        <v>9.1199999999999992</v>
      </c>
      <c r="S69" s="2">
        <v>10.28</v>
      </c>
      <c r="T69" t="s">
        <v>562</v>
      </c>
      <c r="W69" t="s">
        <v>563</v>
      </c>
      <c r="Z69" t="s">
        <v>298</v>
      </c>
      <c r="AG69" t="s">
        <v>107</v>
      </c>
      <c r="AL69" t="s">
        <v>403</v>
      </c>
      <c r="AN69" t="s">
        <v>59</v>
      </c>
      <c r="AP69" t="s">
        <v>564</v>
      </c>
      <c r="AU69" t="s">
        <v>228</v>
      </c>
      <c r="AV69" t="s">
        <v>71</v>
      </c>
    </row>
    <row r="70" spans="1:48" x14ac:dyDescent="0.3">
      <c r="A70" t="s">
        <v>565</v>
      </c>
      <c r="B70" t="s">
        <v>566</v>
      </c>
      <c r="D70" t="s">
        <v>49</v>
      </c>
      <c r="F70" t="s">
        <v>567</v>
      </c>
      <c r="O70" t="s">
        <v>52</v>
      </c>
      <c r="P70" t="s">
        <v>52</v>
      </c>
      <c r="Q70" t="s">
        <v>52</v>
      </c>
      <c r="R70" s="2">
        <v>8.5549999999999997</v>
      </c>
      <c r="S70" s="2">
        <v>11.15</v>
      </c>
      <c r="V70" t="s">
        <v>568</v>
      </c>
      <c r="AB70" t="s">
        <v>569</v>
      </c>
      <c r="AD70" t="s">
        <v>570</v>
      </c>
      <c r="AF70" t="s">
        <v>147</v>
      </c>
      <c r="AL70" t="s">
        <v>201</v>
      </c>
      <c r="AN70" t="s">
        <v>194</v>
      </c>
      <c r="AP70" t="s">
        <v>571</v>
      </c>
      <c r="AU70" t="s">
        <v>70</v>
      </c>
      <c r="AV70" t="s">
        <v>107</v>
      </c>
    </row>
    <row r="71" spans="1:48" x14ac:dyDescent="0.3">
      <c r="A71" t="s">
        <v>572</v>
      </c>
      <c r="B71" t="s">
        <v>544</v>
      </c>
      <c r="D71" t="s">
        <v>386</v>
      </c>
      <c r="F71" t="s">
        <v>573</v>
      </c>
      <c r="O71" t="s">
        <v>52</v>
      </c>
      <c r="P71" t="s">
        <v>52</v>
      </c>
      <c r="Q71" t="s">
        <v>52</v>
      </c>
      <c r="R71" s="2">
        <v>7.78</v>
      </c>
      <c r="S71" s="2">
        <v>9.7200000000000006</v>
      </c>
      <c r="V71" t="s">
        <v>574</v>
      </c>
      <c r="AB71" t="s">
        <v>575</v>
      </c>
      <c r="AD71" t="s">
        <v>525</v>
      </c>
      <c r="AF71" t="s">
        <v>56</v>
      </c>
      <c r="AL71" t="s">
        <v>62</v>
      </c>
      <c r="AN71" t="s">
        <v>521</v>
      </c>
      <c r="AP71" t="s">
        <v>576</v>
      </c>
      <c r="AU71" t="s">
        <v>59</v>
      </c>
      <c r="AV71" t="s">
        <v>71</v>
      </c>
    </row>
    <row r="72" spans="1:48" x14ac:dyDescent="0.3">
      <c r="A72" t="s">
        <v>577</v>
      </c>
      <c r="C72" t="s">
        <v>49</v>
      </c>
      <c r="E72" t="s">
        <v>471</v>
      </c>
      <c r="G72" t="s">
        <v>578</v>
      </c>
      <c r="H72" t="s">
        <v>579</v>
      </c>
      <c r="R72" s="2">
        <v>7.6779999999999999</v>
      </c>
      <c r="S72" s="2">
        <v>9.15</v>
      </c>
      <c r="X72" t="s">
        <v>580</v>
      </c>
      <c r="AC72" t="s">
        <v>581</v>
      </c>
      <c r="AE72" t="s">
        <v>525</v>
      </c>
      <c r="AF72" t="s">
        <v>249</v>
      </c>
      <c r="AK72" t="s">
        <v>582</v>
      </c>
      <c r="AM72" t="s">
        <v>228</v>
      </c>
      <c r="AO72" t="s">
        <v>94</v>
      </c>
      <c r="AQ72" t="s">
        <v>583</v>
      </c>
      <c r="AU72" t="s">
        <v>55</v>
      </c>
      <c r="AV72" t="s">
        <v>107</v>
      </c>
    </row>
    <row r="73" spans="1:48" x14ac:dyDescent="0.3">
      <c r="A73" t="s">
        <v>584</v>
      </c>
      <c r="C73" t="s">
        <v>511</v>
      </c>
      <c r="E73" t="s">
        <v>160</v>
      </c>
      <c r="G73" t="s">
        <v>585</v>
      </c>
      <c r="H73" t="s">
        <v>586</v>
      </c>
      <c r="R73" s="2">
        <v>7.7450000000000001</v>
      </c>
      <c r="S73" s="2">
        <v>8.7200000000000006</v>
      </c>
      <c r="X73" t="s">
        <v>587</v>
      </c>
      <c r="AC73" t="s">
        <v>588</v>
      </c>
      <c r="AE73" t="s">
        <v>541</v>
      </c>
      <c r="AF73" t="s">
        <v>331</v>
      </c>
      <c r="AK73" t="s">
        <v>589</v>
      </c>
      <c r="AM73" t="s">
        <v>276</v>
      </c>
      <c r="AO73" t="s">
        <v>118</v>
      </c>
      <c r="AQ73" t="s">
        <v>590</v>
      </c>
      <c r="AU73" t="s">
        <v>79</v>
      </c>
      <c r="AV73" t="s">
        <v>147</v>
      </c>
    </row>
    <row r="74" spans="1:48" x14ac:dyDescent="0.3">
      <c r="A74" t="s">
        <v>591</v>
      </c>
      <c r="C74" t="s">
        <v>367</v>
      </c>
      <c r="E74" t="s">
        <v>96</v>
      </c>
      <c r="G74" t="s">
        <v>592</v>
      </c>
      <c r="H74" t="s">
        <v>593</v>
      </c>
      <c r="R74" s="2">
        <v>9.8089999999999993</v>
      </c>
      <c r="S74" s="2">
        <v>12.47</v>
      </c>
      <c r="X74" t="s">
        <v>595</v>
      </c>
      <c r="AC74" t="s">
        <v>596</v>
      </c>
      <c r="AE74" t="s">
        <v>597</v>
      </c>
      <c r="AF74" t="s">
        <v>147</v>
      </c>
      <c r="AK74" t="s">
        <v>598</v>
      </c>
      <c r="AM74" t="s">
        <v>249</v>
      </c>
      <c r="AO74" t="s">
        <v>276</v>
      </c>
      <c r="AQ74" t="s">
        <v>599</v>
      </c>
      <c r="AU74" t="s">
        <v>228</v>
      </c>
      <c r="AV74" t="s">
        <v>71</v>
      </c>
    </row>
    <row r="75" spans="1:48" x14ac:dyDescent="0.3">
      <c r="A75" t="s">
        <v>600</v>
      </c>
      <c r="C75" t="s">
        <v>566</v>
      </c>
      <c r="E75" t="s">
        <v>297</v>
      </c>
      <c r="G75" t="s">
        <v>601</v>
      </c>
      <c r="H75" t="s">
        <v>602</v>
      </c>
      <c r="R75" s="2">
        <v>10.547000000000001</v>
      </c>
      <c r="S75" s="2">
        <v>13.23</v>
      </c>
      <c r="U75" t="s">
        <v>595</v>
      </c>
      <c r="Y75" t="s">
        <v>603</v>
      </c>
      <c r="AA75" t="s">
        <v>604</v>
      </c>
      <c r="AG75" t="s">
        <v>90</v>
      </c>
      <c r="AK75" t="s">
        <v>254</v>
      </c>
      <c r="AM75" t="s">
        <v>73</v>
      </c>
      <c r="AO75" t="s">
        <v>403</v>
      </c>
      <c r="AQ75" t="s">
        <v>605</v>
      </c>
      <c r="AU75" t="s">
        <v>59</v>
      </c>
      <c r="AV75" t="s">
        <v>158</v>
      </c>
    </row>
    <row r="76" spans="1:48" x14ac:dyDescent="0.3">
      <c r="A76" t="s">
        <v>606</v>
      </c>
      <c r="C76" t="s">
        <v>535</v>
      </c>
      <c r="E76" t="s">
        <v>566</v>
      </c>
      <c r="G76" t="s">
        <v>607</v>
      </c>
      <c r="H76" t="s">
        <v>608</v>
      </c>
      <c r="J76" t="s">
        <v>609</v>
      </c>
      <c r="L76" t="s">
        <v>456</v>
      </c>
      <c r="R76" s="2">
        <v>9.0250000000000004</v>
      </c>
      <c r="S76" s="2">
        <v>14.34</v>
      </c>
      <c r="U76" t="s">
        <v>610</v>
      </c>
      <c r="Y76" t="s">
        <v>611</v>
      </c>
      <c r="AA76" t="s">
        <v>516</v>
      </c>
      <c r="AG76" t="s">
        <v>60</v>
      </c>
      <c r="AK76" t="s">
        <v>612</v>
      </c>
      <c r="AM76" t="s">
        <v>73</v>
      </c>
      <c r="AO76" t="s">
        <v>97</v>
      </c>
      <c r="AQ76" t="s">
        <v>613</v>
      </c>
      <c r="AU76" t="s">
        <v>228</v>
      </c>
      <c r="AV76" t="s">
        <v>158</v>
      </c>
    </row>
    <row r="77" spans="1:48" x14ac:dyDescent="0.3">
      <c r="A77" t="s">
        <v>614</v>
      </c>
      <c r="C77" t="s">
        <v>535</v>
      </c>
      <c r="E77" t="s">
        <v>49</v>
      </c>
      <c r="G77" t="s">
        <v>615</v>
      </c>
      <c r="H77" t="s">
        <v>616</v>
      </c>
      <c r="J77" t="s">
        <v>617</v>
      </c>
      <c r="L77" s="1" t="s">
        <v>618</v>
      </c>
      <c r="M77" s="1"/>
      <c r="N77" s="1"/>
      <c r="R77" s="2">
        <v>9.0269999999999992</v>
      </c>
      <c r="S77" s="2">
        <v>10.01</v>
      </c>
      <c r="U77" t="s">
        <v>619</v>
      </c>
      <c r="Y77" t="s">
        <v>620</v>
      </c>
      <c r="AA77" t="s">
        <v>621</v>
      </c>
      <c r="AG77" t="s">
        <v>133</v>
      </c>
      <c r="AK77" t="s">
        <v>622</v>
      </c>
      <c r="AM77" t="s">
        <v>541</v>
      </c>
      <c r="AO77" t="s">
        <v>531</v>
      </c>
      <c r="AQ77" t="s">
        <v>623</v>
      </c>
      <c r="AU77" t="s">
        <v>228</v>
      </c>
      <c r="AV77" t="s">
        <v>94</v>
      </c>
    </row>
    <row r="78" spans="1:48" x14ac:dyDescent="0.3">
      <c r="A78" t="s">
        <v>624</v>
      </c>
      <c r="C78" t="s">
        <v>535</v>
      </c>
      <c r="E78" t="s">
        <v>535</v>
      </c>
      <c r="G78" t="s">
        <v>625</v>
      </c>
      <c r="H78" t="s">
        <v>626</v>
      </c>
      <c r="J78" t="s">
        <v>627</v>
      </c>
      <c r="L78" t="s">
        <v>616</v>
      </c>
      <c r="R78" s="2">
        <v>9.5649999999999995</v>
      </c>
      <c r="S78" s="2">
        <v>10.83</v>
      </c>
      <c r="U78" t="s">
        <v>628</v>
      </c>
      <c r="Y78" t="s">
        <v>629</v>
      </c>
      <c r="AA78" t="s">
        <v>630</v>
      </c>
      <c r="AG78" t="s">
        <v>228</v>
      </c>
      <c r="AK78" t="s">
        <v>631</v>
      </c>
      <c r="AM78" t="s">
        <v>110</v>
      </c>
      <c r="AO78" t="s">
        <v>245</v>
      </c>
      <c r="AQ78" t="s">
        <v>632</v>
      </c>
      <c r="AU78" t="s">
        <v>70</v>
      </c>
      <c r="AV78" t="s">
        <v>107</v>
      </c>
    </row>
    <row r="79" spans="1:48" x14ac:dyDescent="0.3">
      <c r="A79" t="s">
        <v>633</v>
      </c>
      <c r="C79" t="s">
        <v>566</v>
      </c>
      <c r="E79" t="s">
        <v>304</v>
      </c>
      <c r="G79" t="s">
        <v>634</v>
      </c>
      <c r="H79" t="s">
        <v>635</v>
      </c>
      <c r="J79" t="s">
        <v>636</v>
      </c>
      <c r="L79" t="s">
        <v>637</v>
      </c>
      <c r="R79" s="2">
        <v>9.26</v>
      </c>
      <c r="S79" s="2">
        <v>10.31</v>
      </c>
      <c r="U79" t="s">
        <v>638</v>
      </c>
      <c r="Y79" t="s">
        <v>639</v>
      </c>
      <c r="AA79" t="s">
        <v>449</v>
      </c>
      <c r="AG79" t="s">
        <v>63</v>
      </c>
      <c r="AK79" t="s">
        <v>640</v>
      </c>
      <c r="AM79" t="s">
        <v>62</v>
      </c>
      <c r="AO79" t="s">
        <v>63</v>
      </c>
      <c r="AQ79" t="s">
        <v>641</v>
      </c>
      <c r="AU79" t="s">
        <v>55</v>
      </c>
      <c r="AV79" t="s">
        <v>133</v>
      </c>
    </row>
    <row r="80" spans="1:48" x14ac:dyDescent="0.3">
      <c r="A80" t="s">
        <v>642</v>
      </c>
      <c r="C80" t="s">
        <v>535</v>
      </c>
      <c r="E80" t="s">
        <v>643</v>
      </c>
      <c r="G80" t="s">
        <v>644</v>
      </c>
      <c r="H80" t="s">
        <v>626</v>
      </c>
      <c r="J80" t="s">
        <v>645</v>
      </c>
      <c r="L80" t="s">
        <v>646</v>
      </c>
      <c r="R80" s="2">
        <v>9.1210000000000004</v>
      </c>
      <c r="S80" s="2">
        <v>10.67</v>
      </c>
      <c r="U80" t="s">
        <v>647</v>
      </c>
      <c r="Y80" t="s">
        <v>648</v>
      </c>
      <c r="AA80" t="s">
        <v>535</v>
      </c>
      <c r="AG80" t="s">
        <v>70</v>
      </c>
      <c r="AK80" t="s">
        <v>649</v>
      </c>
      <c r="AM80" t="s">
        <v>650</v>
      </c>
      <c r="AO80" t="s">
        <v>194</v>
      </c>
      <c r="AQ80" t="s">
        <v>651</v>
      </c>
      <c r="AU80" t="s">
        <v>228</v>
      </c>
      <c r="AV80" t="s">
        <v>158</v>
      </c>
    </row>
    <row r="81" spans="1:48" x14ac:dyDescent="0.3">
      <c r="A81" t="s">
        <v>652</v>
      </c>
      <c r="C81" t="s">
        <v>535</v>
      </c>
      <c r="E81" t="s">
        <v>653</v>
      </c>
      <c r="G81" t="s">
        <v>654</v>
      </c>
      <c r="H81" t="s">
        <v>626</v>
      </c>
      <c r="R81" s="2">
        <v>7.5979999999999999</v>
      </c>
      <c r="S81" s="2">
        <v>10.36</v>
      </c>
      <c r="U81" t="s">
        <v>610</v>
      </c>
      <c r="Y81" t="s">
        <v>655</v>
      </c>
      <c r="AA81" t="s">
        <v>534</v>
      </c>
      <c r="AG81" t="s">
        <v>133</v>
      </c>
      <c r="AK81" t="s">
        <v>656</v>
      </c>
      <c r="AM81" t="s">
        <v>657</v>
      </c>
      <c r="AO81" t="s">
        <v>658</v>
      </c>
      <c r="AQ81" t="s">
        <v>659</v>
      </c>
      <c r="AU81" t="s">
        <v>70</v>
      </c>
      <c r="AV81" t="s">
        <v>133</v>
      </c>
    </row>
    <row r="82" spans="1:48" x14ac:dyDescent="0.3">
      <c r="A82" t="s">
        <v>660</v>
      </c>
      <c r="C82" t="s">
        <v>534</v>
      </c>
      <c r="E82" t="s">
        <v>661</v>
      </c>
      <c r="G82" t="s">
        <v>662</v>
      </c>
      <c r="H82" t="s">
        <v>125</v>
      </c>
      <c r="R82" s="2">
        <v>7.7039999999999997</v>
      </c>
      <c r="S82" s="2">
        <v>9.4700000000000006</v>
      </c>
      <c r="X82" t="s">
        <v>581</v>
      </c>
      <c r="AC82" t="s">
        <v>663</v>
      </c>
      <c r="AE82" t="s">
        <v>298</v>
      </c>
      <c r="AF82" t="s">
        <v>66</v>
      </c>
      <c r="AK82" t="s">
        <v>664</v>
      </c>
      <c r="AM82" t="s">
        <v>96</v>
      </c>
      <c r="AO82" t="s">
        <v>74</v>
      </c>
      <c r="AQ82" t="s">
        <v>665</v>
      </c>
      <c r="AU82" t="s">
        <v>228</v>
      </c>
      <c r="AV82" t="s">
        <v>274</v>
      </c>
    </row>
    <row r="83" spans="1:48" x14ac:dyDescent="0.3">
      <c r="A83" t="s">
        <v>666</v>
      </c>
      <c r="C83" t="s">
        <v>667</v>
      </c>
      <c r="E83" t="s">
        <v>511</v>
      </c>
      <c r="G83" t="s">
        <v>668</v>
      </c>
      <c r="H83" t="s">
        <v>669</v>
      </c>
      <c r="R83" s="2">
        <v>6.8650000000000002</v>
      </c>
      <c r="S83" s="2">
        <v>8.3699999999999992</v>
      </c>
      <c r="X83" t="s">
        <v>670</v>
      </c>
      <c r="AC83" t="s">
        <v>671</v>
      </c>
      <c r="AE83" t="s">
        <v>672</v>
      </c>
      <c r="AF83" t="s">
        <v>133</v>
      </c>
      <c r="AK83" t="s">
        <v>673</v>
      </c>
      <c r="AM83" t="s">
        <v>301</v>
      </c>
      <c r="AO83" t="s">
        <v>674</v>
      </c>
      <c r="AQ83" t="s">
        <v>675</v>
      </c>
      <c r="AU83" t="s">
        <v>59</v>
      </c>
      <c r="AV83" t="s">
        <v>71</v>
      </c>
    </row>
    <row r="84" spans="1:48" x14ac:dyDescent="0.3">
      <c r="A84" t="s">
        <v>676</v>
      </c>
      <c r="C84" t="s">
        <v>677</v>
      </c>
      <c r="E84" t="s">
        <v>60</v>
      </c>
      <c r="G84" t="s">
        <v>678</v>
      </c>
      <c r="R84" s="2">
        <v>8.6999999999999993</v>
      </c>
      <c r="S84" s="2">
        <v>9.9499999999999993</v>
      </c>
      <c r="X84" t="s">
        <v>581</v>
      </c>
      <c r="AC84" t="s">
        <v>548</v>
      </c>
      <c r="AE84" t="s">
        <v>460</v>
      </c>
      <c r="AF84" t="s">
        <v>133</v>
      </c>
      <c r="AM84" t="s">
        <v>55</v>
      </c>
      <c r="AO84" t="s">
        <v>133</v>
      </c>
      <c r="AQ84" t="s">
        <v>679</v>
      </c>
      <c r="AU84" t="s">
        <v>59</v>
      </c>
      <c r="AV84" t="s">
        <v>228</v>
      </c>
    </row>
    <row r="85" spans="1:48" x14ac:dyDescent="0.3">
      <c r="A85" t="s">
        <v>680</v>
      </c>
      <c r="C85" t="s">
        <v>681</v>
      </c>
      <c r="E85" t="s">
        <v>201</v>
      </c>
      <c r="G85" t="s">
        <v>682</v>
      </c>
      <c r="R85" s="2">
        <v>9.1300000000000008</v>
      </c>
      <c r="S85" s="2">
        <v>10.82</v>
      </c>
      <c r="X85" t="s">
        <v>683</v>
      </c>
      <c r="AC85" t="s">
        <v>684</v>
      </c>
      <c r="AE85" t="s">
        <v>74</v>
      </c>
      <c r="AF85" t="s">
        <v>94</v>
      </c>
      <c r="AM85" t="s">
        <v>96</v>
      </c>
      <c r="AO85" t="s">
        <v>84</v>
      </c>
      <c r="AQ85" t="s">
        <v>685</v>
      </c>
      <c r="AU85" t="s">
        <v>63</v>
      </c>
      <c r="AV85" t="s">
        <v>228</v>
      </c>
    </row>
    <row r="86" spans="1:48" x14ac:dyDescent="0.3">
      <c r="A86" t="s">
        <v>686</v>
      </c>
      <c r="C86" t="s">
        <v>687</v>
      </c>
      <c r="E86" t="s">
        <v>471</v>
      </c>
      <c r="G86" t="s">
        <v>688</v>
      </c>
      <c r="R86" s="2">
        <v>8.82</v>
      </c>
      <c r="S86" s="2">
        <v>10.92</v>
      </c>
      <c r="X86" t="s">
        <v>689</v>
      </c>
      <c r="AC86" t="s">
        <v>354</v>
      </c>
      <c r="AE86" t="s">
        <v>50</v>
      </c>
      <c r="AF86" t="s">
        <v>63</v>
      </c>
      <c r="AM86" t="s">
        <v>690</v>
      </c>
      <c r="AO86" t="s">
        <v>160</v>
      </c>
      <c r="AQ86" t="s">
        <v>691</v>
      </c>
      <c r="AU86" t="s">
        <v>172</v>
      </c>
      <c r="AV86" t="s">
        <v>147</v>
      </c>
    </row>
    <row r="87" spans="1:48" x14ac:dyDescent="0.3">
      <c r="A87" t="s">
        <v>692</v>
      </c>
      <c r="C87" t="s">
        <v>693</v>
      </c>
      <c r="E87" t="s">
        <v>534</v>
      </c>
      <c r="G87" t="s">
        <v>694</v>
      </c>
      <c r="R87" s="2">
        <v>9.82</v>
      </c>
      <c r="S87" s="2">
        <v>11.59</v>
      </c>
      <c r="U87" t="s">
        <v>580</v>
      </c>
      <c r="Y87" t="s">
        <v>569</v>
      </c>
      <c r="AA87" t="s">
        <v>298</v>
      </c>
      <c r="AG87" t="s">
        <v>63</v>
      </c>
      <c r="AM87" t="s">
        <v>695</v>
      </c>
      <c r="AO87" t="s">
        <v>73</v>
      </c>
      <c r="AQ87" t="s">
        <v>696</v>
      </c>
      <c r="AU87" t="s">
        <v>70</v>
      </c>
      <c r="AV87" t="s">
        <v>107</v>
      </c>
    </row>
    <row r="88" spans="1:48" x14ac:dyDescent="0.3">
      <c r="A88" t="s">
        <v>697</v>
      </c>
      <c r="C88" t="s">
        <v>661</v>
      </c>
      <c r="E88" t="s">
        <v>698</v>
      </c>
      <c r="G88" t="s">
        <v>699</v>
      </c>
      <c r="J88" t="s">
        <v>700</v>
      </c>
      <c r="L88" t="s">
        <v>646</v>
      </c>
      <c r="R88" s="2">
        <v>9.69</v>
      </c>
      <c r="S88" s="2">
        <v>11.23</v>
      </c>
      <c r="U88" t="s">
        <v>701</v>
      </c>
      <c r="Y88" t="s">
        <v>354</v>
      </c>
      <c r="AA88" t="s">
        <v>471</v>
      </c>
      <c r="AG88" t="s">
        <v>70</v>
      </c>
      <c r="AM88" t="s">
        <v>228</v>
      </c>
      <c r="AO88" t="s">
        <v>117</v>
      </c>
      <c r="AQ88" t="s">
        <v>702</v>
      </c>
      <c r="AU88" t="s">
        <v>59</v>
      </c>
      <c r="AV88" t="s">
        <v>147</v>
      </c>
    </row>
    <row r="89" spans="1:48" x14ac:dyDescent="0.3">
      <c r="A89" t="s">
        <v>703</v>
      </c>
      <c r="C89" t="s">
        <v>535</v>
      </c>
      <c r="E89" t="s">
        <v>698</v>
      </c>
      <c r="G89" t="s">
        <v>704</v>
      </c>
      <c r="J89" t="s">
        <v>150</v>
      </c>
      <c r="L89" t="s">
        <v>608</v>
      </c>
      <c r="R89" s="2">
        <v>10.02</v>
      </c>
      <c r="S89" s="2">
        <v>11.27</v>
      </c>
      <c r="U89" t="s">
        <v>705</v>
      </c>
      <c r="Y89" t="s">
        <v>706</v>
      </c>
      <c r="AA89" t="s">
        <v>707</v>
      </c>
      <c r="AG89" t="s">
        <v>70</v>
      </c>
      <c r="AM89" t="s">
        <v>167</v>
      </c>
      <c r="AO89" t="s">
        <v>147</v>
      </c>
      <c r="AQ89" t="s">
        <v>708</v>
      </c>
      <c r="AU89" t="s">
        <v>172</v>
      </c>
      <c r="AV89" t="s">
        <v>147</v>
      </c>
    </row>
    <row r="90" spans="1:48" x14ac:dyDescent="0.3">
      <c r="A90" t="s">
        <v>709</v>
      </c>
      <c r="C90" t="s">
        <v>534</v>
      </c>
      <c r="E90" t="s">
        <v>710</v>
      </c>
      <c r="G90" t="s">
        <v>711</v>
      </c>
      <c r="J90" t="s">
        <v>712</v>
      </c>
      <c r="L90" t="s">
        <v>713</v>
      </c>
      <c r="R90" s="2">
        <v>9.85</v>
      </c>
      <c r="S90" s="2">
        <v>11.6</v>
      </c>
      <c r="U90" t="s">
        <v>715</v>
      </c>
      <c r="Y90" t="s">
        <v>716</v>
      </c>
      <c r="AA90" t="s">
        <v>71</v>
      </c>
      <c r="AG90" t="s">
        <v>60</v>
      </c>
      <c r="AM90" t="s">
        <v>84</v>
      </c>
      <c r="AO90" t="s">
        <v>62</v>
      </c>
      <c r="AQ90" t="s">
        <v>717</v>
      </c>
      <c r="AU90" t="s">
        <v>172</v>
      </c>
      <c r="AV90" t="s">
        <v>107</v>
      </c>
    </row>
    <row r="91" spans="1:48" x14ac:dyDescent="0.3">
      <c r="A91" t="s">
        <v>718</v>
      </c>
      <c r="C91" t="s">
        <v>534</v>
      </c>
      <c r="E91" t="s">
        <v>661</v>
      </c>
      <c r="G91" t="s">
        <v>719</v>
      </c>
      <c r="J91" t="s">
        <v>457</v>
      </c>
      <c r="L91" t="s">
        <v>720</v>
      </c>
      <c r="R91" s="2">
        <v>9.51</v>
      </c>
      <c r="S91" s="2">
        <v>12.76</v>
      </c>
      <c r="U91" t="s">
        <v>721</v>
      </c>
      <c r="Y91" t="s">
        <v>722</v>
      </c>
      <c r="AA91" t="s">
        <v>723</v>
      </c>
      <c r="AG91" t="s">
        <v>79</v>
      </c>
      <c r="AM91" t="s">
        <v>724</v>
      </c>
      <c r="AO91" t="s">
        <v>158</v>
      </c>
      <c r="AQ91" t="s">
        <v>725</v>
      </c>
      <c r="AU91" t="s">
        <v>172</v>
      </c>
      <c r="AV91" t="s">
        <v>107</v>
      </c>
    </row>
    <row r="92" spans="1:48" x14ac:dyDescent="0.3">
      <c r="A92" t="s">
        <v>726</v>
      </c>
      <c r="C92" t="s">
        <v>727</v>
      </c>
      <c r="E92" t="s">
        <v>534</v>
      </c>
      <c r="G92" t="s">
        <v>728</v>
      </c>
      <c r="J92" t="s">
        <v>729</v>
      </c>
      <c r="L92" t="s">
        <v>730</v>
      </c>
      <c r="R92" s="2">
        <v>8.91</v>
      </c>
      <c r="S92" s="2">
        <v>9.84</v>
      </c>
      <c r="U92" t="s">
        <v>731</v>
      </c>
      <c r="Y92" t="s">
        <v>732</v>
      </c>
      <c r="AA92" t="s">
        <v>597</v>
      </c>
      <c r="AG92" t="s">
        <v>59</v>
      </c>
      <c r="AM92" t="s">
        <v>84</v>
      </c>
      <c r="AO92" t="s">
        <v>147</v>
      </c>
      <c r="AQ92" t="s">
        <v>733</v>
      </c>
      <c r="AU92" t="s">
        <v>228</v>
      </c>
      <c r="AV92" t="s">
        <v>60</v>
      </c>
    </row>
    <row r="93" spans="1:48" x14ac:dyDescent="0.3">
      <c r="A93" t="s">
        <v>734</v>
      </c>
      <c r="C93" t="s">
        <v>735</v>
      </c>
      <c r="E93" t="s">
        <v>377</v>
      </c>
      <c r="G93" t="s">
        <v>736</v>
      </c>
      <c r="R93" s="2">
        <v>8.02</v>
      </c>
      <c r="S93" s="2">
        <v>8.5299999999999994</v>
      </c>
      <c r="U93" t="s">
        <v>655</v>
      </c>
      <c r="Y93" t="s">
        <v>684</v>
      </c>
      <c r="AA93" t="s">
        <v>305</v>
      </c>
      <c r="AG93" t="s">
        <v>121</v>
      </c>
      <c r="AM93" t="s">
        <v>158</v>
      </c>
      <c r="AO93" t="s">
        <v>56</v>
      </c>
      <c r="AQ93" t="s">
        <v>737</v>
      </c>
      <c r="AU93" t="s">
        <v>228</v>
      </c>
      <c r="AV93" t="s">
        <v>274</v>
      </c>
    </row>
    <row r="94" spans="1:48" x14ac:dyDescent="0.3">
      <c r="A94" t="s">
        <v>738</v>
      </c>
      <c r="C94" t="s">
        <v>739</v>
      </c>
      <c r="E94" t="s">
        <v>49</v>
      </c>
      <c r="G94" t="s">
        <v>740</v>
      </c>
      <c r="R94" s="2">
        <v>7.29</v>
      </c>
      <c r="S94" s="2">
        <v>8.27</v>
      </c>
      <c r="X94" t="s">
        <v>742</v>
      </c>
      <c r="AC94" t="s">
        <v>743</v>
      </c>
      <c r="AE94" t="s">
        <v>744</v>
      </c>
      <c r="AF94" t="s">
        <v>123</v>
      </c>
      <c r="AM94" t="s">
        <v>462</v>
      </c>
      <c r="AO94" t="s">
        <v>745</v>
      </c>
      <c r="AQ94" t="s">
        <v>746</v>
      </c>
      <c r="AU94" t="s">
        <v>172</v>
      </c>
      <c r="AV94" t="s">
        <v>147</v>
      </c>
    </row>
    <row r="95" spans="1:48" x14ac:dyDescent="0.3">
      <c r="A95" t="s">
        <v>747</v>
      </c>
      <c r="C95" t="s">
        <v>748</v>
      </c>
      <c r="E95" t="s">
        <v>378</v>
      </c>
      <c r="G95" t="s">
        <v>749</v>
      </c>
      <c r="R95" s="2">
        <v>7.18</v>
      </c>
      <c r="S95" s="2">
        <v>8.43</v>
      </c>
      <c r="X95" t="s">
        <v>751</v>
      </c>
      <c r="AC95" t="s">
        <v>752</v>
      </c>
      <c r="AE95" t="s">
        <v>566</v>
      </c>
      <c r="AF95" t="s">
        <v>383</v>
      </c>
      <c r="AM95" t="s">
        <v>71</v>
      </c>
      <c r="AO95" t="s">
        <v>486</v>
      </c>
      <c r="AQ95" t="s">
        <v>753</v>
      </c>
      <c r="AU95" t="s">
        <v>63</v>
      </c>
      <c r="AV95" t="s">
        <v>70</v>
      </c>
    </row>
    <row r="96" spans="1:48" x14ac:dyDescent="0.3">
      <c r="A96" t="s">
        <v>754</v>
      </c>
      <c r="C96" t="s">
        <v>755</v>
      </c>
      <c r="E96" t="s">
        <v>756</v>
      </c>
      <c r="G96" t="s">
        <v>757</v>
      </c>
      <c r="R96" s="2">
        <v>7.52</v>
      </c>
      <c r="S96" s="2">
        <v>9.5299999999999994</v>
      </c>
      <c r="X96" t="s">
        <v>758</v>
      </c>
      <c r="AC96" t="s">
        <v>759</v>
      </c>
      <c r="AE96" t="s">
        <v>760</v>
      </c>
      <c r="AF96" t="s">
        <v>134</v>
      </c>
      <c r="AM96" t="s">
        <v>724</v>
      </c>
      <c r="AO96" t="s">
        <v>228</v>
      </c>
      <c r="AQ96" t="s">
        <v>761</v>
      </c>
      <c r="AU96" t="s">
        <v>79</v>
      </c>
      <c r="AV96" t="s">
        <v>228</v>
      </c>
    </row>
    <row r="97" spans="1:48" x14ac:dyDescent="0.3">
      <c r="A97" t="s">
        <v>762</v>
      </c>
      <c r="C97" t="s">
        <v>763</v>
      </c>
      <c r="E97" t="s">
        <v>764</v>
      </c>
      <c r="G97" t="s">
        <v>765</v>
      </c>
      <c r="R97" s="2">
        <v>6.2892999999999999</v>
      </c>
      <c r="S97" s="2">
        <v>9.52</v>
      </c>
      <c r="X97" t="s">
        <v>766</v>
      </c>
      <c r="AC97" t="s">
        <v>767</v>
      </c>
      <c r="AE97" t="s">
        <v>768</v>
      </c>
      <c r="AF97" t="s">
        <v>206</v>
      </c>
      <c r="AM97" t="s">
        <v>769</v>
      </c>
      <c r="AO97" t="s">
        <v>770</v>
      </c>
      <c r="AQ97" t="s">
        <v>771</v>
      </c>
      <c r="AU97" t="s">
        <v>63</v>
      </c>
      <c r="AV97" t="s">
        <v>147</v>
      </c>
    </row>
    <row r="98" spans="1:48" x14ac:dyDescent="0.3">
      <c r="A98" t="s">
        <v>772</v>
      </c>
      <c r="C98" t="s">
        <v>773</v>
      </c>
      <c r="E98" t="s">
        <v>403</v>
      </c>
      <c r="G98" t="s">
        <v>774</v>
      </c>
      <c r="R98" s="2">
        <v>4.3</v>
      </c>
      <c r="S98" s="2">
        <v>7.83</v>
      </c>
      <c r="X98" t="s">
        <v>775</v>
      </c>
      <c r="AC98" t="s">
        <v>776</v>
      </c>
      <c r="AE98" t="s">
        <v>521</v>
      </c>
      <c r="AF98" t="s">
        <v>374</v>
      </c>
      <c r="AM98" t="s">
        <v>777</v>
      </c>
      <c r="AO98" t="s">
        <v>778</v>
      </c>
      <c r="AQ98" t="s">
        <v>779</v>
      </c>
      <c r="AU98" t="s">
        <v>79</v>
      </c>
      <c r="AV98" t="s">
        <v>147</v>
      </c>
    </row>
    <row r="99" spans="1:48" x14ac:dyDescent="0.3">
      <c r="A99" t="s">
        <v>780</v>
      </c>
      <c r="C99" t="s">
        <v>781</v>
      </c>
      <c r="E99" t="s">
        <v>297</v>
      </c>
      <c r="G99" t="s">
        <v>782</v>
      </c>
      <c r="R99" s="2">
        <v>8.27</v>
      </c>
      <c r="S99" s="2">
        <v>11.36</v>
      </c>
      <c r="U99" t="s">
        <v>663</v>
      </c>
      <c r="Y99" t="s">
        <v>783</v>
      </c>
      <c r="AA99" t="s">
        <v>167</v>
      </c>
      <c r="AG99" t="s">
        <v>117</v>
      </c>
      <c r="AM99" t="s">
        <v>331</v>
      </c>
      <c r="AO99" t="s">
        <v>392</v>
      </c>
      <c r="AQ99" t="s">
        <v>784</v>
      </c>
      <c r="AU99" t="s">
        <v>172</v>
      </c>
      <c r="AV99" t="s">
        <v>71</v>
      </c>
    </row>
    <row r="100" spans="1:48" x14ac:dyDescent="0.3">
      <c r="A100" t="s">
        <v>785</v>
      </c>
      <c r="C100" t="s">
        <v>727</v>
      </c>
      <c r="E100" t="s">
        <v>727</v>
      </c>
      <c r="G100" t="s">
        <v>786</v>
      </c>
      <c r="J100" t="s">
        <v>425</v>
      </c>
      <c r="L100" t="s">
        <v>787</v>
      </c>
      <c r="R100" s="2">
        <v>7.01</v>
      </c>
      <c r="S100" s="2">
        <v>9.9700000000000006</v>
      </c>
      <c r="U100" t="s">
        <v>689</v>
      </c>
      <c r="Y100" t="s">
        <v>789</v>
      </c>
      <c r="AA100" t="s">
        <v>386</v>
      </c>
      <c r="AG100" t="s">
        <v>108</v>
      </c>
      <c r="AM100" t="s">
        <v>650</v>
      </c>
      <c r="AO100" t="s">
        <v>460</v>
      </c>
      <c r="AQ100" t="s">
        <v>790</v>
      </c>
      <c r="AU100" t="s">
        <v>172</v>
      </c>
      <c r="AV100" t="s">
        <v>147</v>
      </c>
    </row>
    <row r="101" spans="1:48" x14ac:dyDescent="0.3">
      <c r="A101" t="s">
        <v>791</v>
      </c>
      <c r="C101" t="s">
        <v>792</v>
      </c>
      <c r="E101" t="s">
        <v>793</v>
      </c>
      <c r="G101" t="s">
        <v>794</v>
      </c>
      <c r="J101" t="s">
        <v>795</v>
      </c>
      <c r="L101" t="s">
        <v>796</v>
      </c>
      <c r="R101" s="2">
        <v>9.48</v>
      </c>
      <c r="S101" s="2">
        <v>11.41</v>
      </c>
      <c r="U101" t="s">
        <v>797</v>
      </c>
      <c r="Y101" t="s">
        <v>798</v>
      </c>
      <c r="AA101" t="s">
        <v>799</v>
      </c>
      <c r="AG101" t="s">
        <v>172</v>
      </c>
      <c r="AM101" t="s">
        <v>392</v>
      </c>
      <c r="AO101" t="s">
        <v>800</v>
      </c>
      <c r="AQ101" t="s">
        <v>801</v>
      </c>
      <c r="AU101" t="s">
        <v>70</v>
      </c>
      <c r="AV101" t="s">
        <v>133</v>
      </c>
    </row>
    <row r="102" spans="1:48" x14ac:dyDescent="0.3">
      <c r="A102" t="s">
        <v>802</v>
      </c>
      <c r="C102" t="s">
        <v>744</v>
      </c>
      <c r="E102" t="s">
        <v>84</v>
      </c>
      <c r="G102" t="s">
        <v>803</v>
      </c>
      <c r="J102" t="s">
        <v>419</v>
      </c>
      <c r="L102" t="s">
        <v>804</v>
      </c>
      <c r="R102" s="2">
        <v>6.05</v>
      </c>
      <c r="S102" s="2">
        <v>8.66</v>
      </c>
      <c r="U102" t="s">
        <v>805</v>
      </c>
      <c r="Y102" t="s">
        <v>716</v>
      </c>
      <c r="AA102" t="s">
        <v>194</v>
      </c>
      <c r="AG102" t="s">
        <v>70</v>
      </c>
      <c r="AM102" t="s">
        <v>383</v>
      </c>
      <c r="AO102" t="s">
        <v>182</v>
      </c>
      <c r="AQ102" t="s">
        <v>806</v>
      </c>
      <c r="AU102" t="s">
        <v>228</v>
      </c>
      <c r="AV102" t="s">
        <v>71</v>
      </c>
    </row>
    <row r="103" spans="1:48" x14ac:dyDescent="0.3">
      <c r="A103" t="s">
        <v>807</v>
      </c>
      <c r="C103" t="s">
        <v>525</v>
      </c>
      <c r="E103" t="s">
        <v>297</v>
      </c>
      <c r="G103" t="s">
        <v>808</v>
      </c>
      <c r="J103" t="s">
        <v>419</v>
      </c>
      <c r="L103" t="s">
        <v>125</v>
      </c>
      <c r="R103" s="2">
        <v>5.4</v>
      </c>
      <c r="S103" s="2">
        <v>8.4</v>
      </c>
      <c r="U103" t="s">
        <v>809</v>
      </c>
      <c r="Y103" t="s">
        <v>380</v>
      </c>
      <c r="AA103" t="s">
        <v>79</v>
      </c>
      <c r="AG103" t="s">
        <v>107</v>
      </c>
      <c r="AM103" t="s">
        <v>322</v>
      </c>
      <c r="AO103" t="s">
        <v>810</v>
      </c>
      <c r="AQ103" t="s">
        <v>811</v>
      </c>
      <c r="AU103" t="s">
        <v>228</v>
      </c>
      <c r="AV103" t="s">
        <v>60</v>
      </c>
    </row>
    <row r="104" spans="1:48" x14ac:dyDescent="0.3">
      <c r="A104" t="s">
        <v>812</v>
      </c>
      <c r="C104" t="s">
        <v>661</v>
      </c>
      <c r="E104" t="s">
        <v>516</v>
      </c>
      <c r="G104" t="s">
        <v>813</v>
      </c>
      <c r="J104" t="s">
        <v>814</v>
      </c>
      <c r="L104" t="s">
        <v>815</v>
      </c>
      <c r="R104" s="2">
        <v>6.86</v>
      </c>
      <c r="S104" s="2">
        <v>15.91</v>
      </c>
      <c r="U104" t="s">
        <v>817</v>
      </c>
      <c r="Y104" t="s">
        <v>818</v>
      </c>
      <c r="AA104" t="s">
        <v>118</v>
      </c>
      <c r="AG104" t="s">
        <v>56</v>
      </c>
      <c r="AM104" t="s">
        <v>206</v>
      </c>
      <c r="AO104" t="s">
        <v>289</v>
      </c>
      <c r="AQ104" t="s">
        <v>819</v>
      </c>
      <c r="AU104" t="s">
        <v>228</v>
      </c>
      <c r="AV104" t="s">
        <v>274</v>
      </c>
    </row>
    <row r="105" spans="1:48" x14ac:dyDescent="0.3">
      <c r="A105" t="s">
        <v>820</v>
      </c>
      <c r="C105" t="s">
        <v>821</v>
      </c>
      <c r="E105" t="s">
        <v>305</v>
      </c>
      <c r="G105" t="s">
        <v>822</v>
      </c>
      <c r="R105" s="2">
        <v>4.58</v>
      </c>
      <c r="S105" s="2">
        <v>7.44</v>
      </c>
      <c r="U105" t="s">
        <v>824</v>
      </c>
      <c r="Y105" t="s">
        <v>825</v>
      </c>
      <c r="AA105" t="s">
        <v>439</v>
      </c>
      <c r="AG105" t="s">
        <v>134</v>
      </c>
      <c r="AM105" t="s">
        <v>445</v>
      </c>
      <c r="AO105" t="s">
        <v>163</v>
      </c>
      <c r="AQ105" t="s">
        <v>826</v>
      </c>
      <c r="AU105" t="s">
        <v>228</v>
      </c>
      <c r="AV105" t="s">
        <v>134</v>
      </c>
    </row>
    <row r="106" spans="1:48" x14ac:dyDescent="0.3">
      <c r="A106" t="s">
        <v>827</v>
      </c>
      <c r="C106" t="s">
        <v>828</v>
      </c>
      <c r="E106" t="s">
        <v>110</v>
      </c>
      <c r="G106" t="s">
        <v>829</v>
      </c>
      <c r="R106" s="2">
        <v>5.75</v>
      </c>
      <c r="S106" s="2">
        <v>9.69</v>
      </c>
      <c r="X106" t="s">
        <v>830</v>
      </c>
      <c r="AC106" t="s">
        <v>831</v>
      </c>
      <c r="AE106" t="s">
        <v>245</v>
      </c>
      <c r="AF106" t="s">
        <v>263</v>
      </c>
      <c r="AM106" t="s">
        <v>832</v>
      </c>
      <c r="AO106" t="s">
        <v>833</v>
      </c>
      <c r="AQ106" t="s">
        <v>834</v>
      </c>
      <c r="AU106" t="s">
        <v>172</v>
      </c>
      <c r="AV106" t="s">
        <v>134</v>
      </c>
    </row>
    <row r="107" spans="1:48" x14ac:dyDescent="0.3">
      <c r="A107" t="s">
        <v>835</v>
      </c>
      <c r="C107" t="s">
        <v>748</v>
      </c>
      <c r="E107" t="s">
        <v>305</v>
      </c>
      <c r="G107" t="s">
        <v>836</v>
      </c>
      <c r="R107" s="2">
        <v>7.04</v>
      </c>
      <c r="S107" s="2">
        <v>15.5</v>
      </c>
      <c r="X107" t="s">
        <v>789</v>
      </c>
      <c r="AC107" t="s">
        <v>837</v>
      </c>
      <c r="AE107" t="s">
        <v>511</v>
      </c>
      <c r="AF107" t="s">
        <v>60</v>
      </c>
      <c r="AM107" t="s">
        <v>604</v>
      </c>
      <c r="AO107" t="s">
        <v>158</v>
      </c>
      <c r="AQ107" t="s">
        <v>838</v>
      </c>
      <c r="AU107" t="s">
        <v>70</v>
      </c>
      <c r="AV107" t="s">
        <v>94</v>
      </c>
    </row>
    <row r="108" spans="1:48" x14ac:dyDescent="0.3">
      <c r="A108" t="s">
        <v>839</v>
      </c>
      <c r="C108" t="s">
        <v>840</v>
      </c>
      <c r="E108" t="s">
        <v>524</v>
      </c>
      <c r="G108" t="s">
        <v>841</v>
      </c>
      <c r="R108" s="2">
        <v>5.83</v>
      </c>
      <c r="S108" s="2">
        <v>13.12</v>
      </c>
      <c r="X108" t="s">
        <v>843</v>
      </c>
      <c r="AC108" t="s">
        <v>611</v>
      </c>
      <c r="AE108" t="s">
        <v>844</v>
      </c>
      <c r="AF108" t="s">
        <v>66</v>
      </c>
      <c r="AM108" t="s">
        <v>194</v>
      </c>
      <c r="AO108" t="s">
        <v>284</v>
      </c>
      <c r="AQ108" t="s">
        <v>845</v>
      </c>
      <c r="AU108" t="s">
        <v>172</v>
      </c>
      <c r="AV108" t="s">
        <v>107</v>
      </c>
    </row>
    <row r="109" spans="1:48" x14ac:dyDescent="0.3">
      <c r="A109" t="s">
        <v>846</v>
      </c>
      <c r="C109" t="s">
        <v>847</v>
      </c>
      <c r="E109" t="s">
        <v>661</v>
      </c>
      <c r="G109" t="s">
        <v>848</v>
      </c>
      <c r="R109" s="2">
        <v>5.73</v>
      </c>
      <c r="S109" s="2">
        <v>9.86</v>
      </c>
      <c r="X109" t="s">
        <v>849</v>
      </c>
      <c r="AC109" t="s">
        <v>850</v>
      </c>
      <c r="AE109" t="s">
        <v>368</v>
      </c>
      <c r="AF109" t="s">
        <v>66</v>
      </c>
      <c r="AM109" t="s">
        <v>851</v>
      </c>
      <c r="AO109" t="s">
        <v>541</v>
      </c>
      <c r="AQ109" t="s">
        <v>688</v>
      </c>
      <c r="AU109" t="s">
        <v>59</v>
      </c>
      <c r="AV109" t="s">
        <v>158</v>
      </c>
    </row>
    <row r="110" spans="1:48" x14ac:dyDescent="0.3">
      <c r="A110" t="s">
        <v>852</v>
      </c>
      <c r="C110" t="s">
        <v>853</v>
      </c>
      <c r="E110" t="s">
        <v>661</v>
      </c>
      <c r="G110" t="s">
        <v>854</v>
      </c>
      <c r="R110" s="2">
        <v>8.16</v>
      </c>
      <c r="S110" s="2">
        <v>19.05</v>
      </c>
      <c r="X110" t="s">
        <v>611</v>
      </c>
      <c r="AC110" t="s">
        <v>568</v>
      </c>
      <c r="AE110" t="s">
        <v>554</v>
      </c>
      <c r="AF110" t="s">
        <v>249</v>
      </c>
      <c r="AM110" t="s">
        <v>690</v>
      </c>
      <c r="AO110" t="s">
        <v>201</v>
      </c>
      <c r="AQ110" t="s">
        <v>855</v>
      </c>
      <c r="AU110" t="s">
        <v>172</v>
      </c>
      <c r="AV110" t="s">
        <v>147</v>
      </c>
    </row>
    <row r="111" spans="1:48" x14ac:dyDescent="0.3">
      <c r="A111" t="s">
        <v>856</v>
      </c>
      <c r="C111" t="s">
        <v>857</v>
      </c>
      <c r="E111" t="s">
        <v>516</v>
      </c>
      <c r="G111" t="s">
        <v>836</v>
      </c>
      <c r="R111" s="2">
        <v>7.38</v>
      </c>
      <c r="S111" s="2">
        <v>13.18</v>
      </c>
      <c r="U111" t="s">
        <v>858</v>
      </c>
      <c r="Y111" t="s">
        <v>663</v>
      </c>
      <c r="AA111" t="s">
        <v>378</v>
      </c>
      <c r="AG111" t="s">
        <v>121</v>
      </c>
      <c r="AM111" t="s">
        <v>531</v>
      </c>
      <c r="AO111" t="s">
        <v>97</v>
      </c>
      <c r="AQ111" t="s">
        <v>859</v>
      </c>
      <c r="AU111" t="s">
        <v>172</v>
      </c>
      <c r="AV111" t="s">
        <v>71</v>
      </c>
    </row>
    <row r="112" spans="1:48" x14ac:dyDescent="0.3">
      <c r="A112" t="s">
        <v>860</v>
      </c>
      <c r="C112" t="s">
        <v>727</v>
      </c>
      <c r="E112" t="s">
        <v>535</v>
      </c>
      <c r="G112" t="s">
        <v>861</v>
      </c>
      <c r="J112" t="s">
        <v>160</v>
      </c>
      <c r="L112" t="s">
        <v>433</v>
      </c>
      <c r="R112" s="2">
        <v>14.79</v>
      </c>
      <c r="S112" s="2">
        <v>24.2</v>
      </c>
      <c r="U112" t="s">
        <v>732</v>
      </c>
      <c r="Y112" t="s">
        <v>862</v>
      </c>
      <c r="AA112" t="s">
        <v>251</v>
      </c>
      <c r="AG112" t="s">
        <v>121</v>
      </c>
      <c r="AM112" t="s">
        <v>570</v>
      </c>
      <c r="AO112" t="s">
        <v>133</v>
      </c>
      <c r="AQ112" t="s">
        <v>863</v>
      </c>
      <c r="AU112" t="s">
        <v>172</v>
      </c>
      <c r="AV112" t="s">
        <v>133</v>
      </c>
    </row>
    <row r="113" spans="1:48" x14ac:dyDescent="0.3">
      <c r="A113" t="s">
        <v>864</v>
      </c>
      <c r="C113" t="s">
        <v>535</v>
      </c>
      <c r="E113" t="s">
        <v>661</v>
      </c>
      <c r="G113" t="s">
        <v>865</v>
      </c>
      <c r="J113" t="s">
        <v>866</v>
      </c>
      <c r="L113" t="s">
        <v>867</v>
      </c>
      <c r="R113" s="2">
        <v>13.34</v>
      </c>
      <c r="S113" s="2">
        <v>19.13</v>
      </c>
      <c r="U113" t="s">
        <v>562</v>
      </c>
      <c r="Y113" t="s">
        <v>575</v>
      </c>
      <c r="AA113" t="s">
        <v>160</v>
      </c>
      <c r="AG113" t="s">
        <v>55</v>
      </c>
      <c r="AM113" t="s">
        <v>59</v>
      </c>
      <c r="AO113" t="s">
        <v>56</v>
      </c>
      <c r="AQ113" t="s">
        <v>868</v>
      </c>
      <c r="AU113" t="s">
        <v>172</v>
      </c>
      <c r="AV113" t="s">
        <v>71</v>
      </c>
    </row>
    <row r="114" spans="1:48" x14ac:dyDescent="0.3">
      <c r="A114" t="s">
        <v>869</v>
      </c>
      <c r="C114" t="s">
        <v>534</v>
      </c>
      <c r="E114" t="s">
        <v>535</v>
      </c>
      <c r="G114" t="s">
        <v>870</v>
      </c>
      <c r="J114" t="s">
        <v>871</v>
      </c>
      <c r="L114" t="s">
        <v>452</v>
      </c>
      <c r="R114" s="2">
        <v>8.86</v>
      </c>
      <c r="S114" s="2">
        <v>14.3</v>
      </c>
      <c r="U114" t="s">
        <v>722</v>
      </c>
      <c r="Y114" t="s">
        <v>872</v>
      </c>
      <c r="AA114" t="s">
        <v>873</v>
      </c>
      <c r="AG114" t="s">
        <v>90</v>
      </c>
      <c r="AM114" t="s">
        <v>62</v>
      </c>
      <c r="AO114" t="s">
        <v>60</v>
      </c>
      <c r="AQ114" t="s">
        <v>874</v>
      </c>
      <c r="AU114" t="s">
        <v>70</v>
      </c>
      <c r="AV114" t="s">
        <v>107</v>
      </c>
    </row>
    <row r="115" spans="1:48" x14ac:dyDescent="0.3">
      <c r="A115" t="s">
        <v>875</v>
      </c>
      <c r="C115" t="s">
        <v>377</v>
      </c>
      <c r="E115" t="s">
        <v>744</v>
      </c>
      <c r="G115" t="s">
        <v>876</v>
      </c>
      <c r="J115" t="s">
        <v>443</v>
      </c>
      <c r="L115" t="s">
        <v>877</v>
      </c>
      <c r="R115" s="2">
        <v>6.37</v>
      </c>
      <c r="S115" s="2">
        <v>7.67</v>
      </c>
      <c r="U115" t="s">
        <v>380</v>
      </c>
      <c r="Y115" t="s">
        <v>878</v>
      </c>
      <c r="AA115" t="s">
        <v>879</v>
      </c>
      <c r="AG115" t="s">
        <v>79</v>
      </c>
      <c r="AM115" t="s">
        <v>880</v>
      </c>
      <c r="AO115" t="s">
        <v>881</v>
      </c>
      <c r="AQ115" t="s">
        <v>882</v>
      </c>
      <c r="AU115" t="s">
        <v>228</v>
      </c>
      <c r="AV115" t="s">
        <v>133</v>
      </c>
    </row>
    <row r="116" spans="1:48" x14ac:dyDescent="0.3">
      <c r="A116" t="s">
        <v>883</v>
      </c>
      <c r="C116" t="s">
        <v>727</v>
      </c>
      <c r="E116" t="s">
        <v>534</v>
      </c>
      <c r="G116" t="s">
        <v>884</v>
      </c>
      <c r="J116" t="s">
        <v>445</v>
      </c>
      <c r="L116" t="s">
        <v>435</v>
      </c>
      <c r="R116" s="2">
        <v>5.98</v>
      </c>
      <c r="S116" s="2">
        <v>7.44</v>
      </c>
      <c r="U116" t="s">
        <v>885</v>
      </c>
      <c r="Y116" t="s">
        <v>886</v>
      </c>
      <c r="AA116" t="s">
        <v>657</v>
      </c>
      <c r="AG116" t="s">
        <v>90</v>
      </c>
      <c r="AM116" t="s">
        <v>887</v>
      </c>
      <c r="AO116" t="s">
        <v>541</v>
      </c>
      <c r="AQ116" t="s">
        <v>517</v>
      </c>
      <c r="AU116" t="s">
        <v>70</v>
      </c>
      <c r="AV116" t="s">
        <v>107</v>
      </c>
    </row>
    <row r="117" spans="1:48" x14ac:dyDescent="0.3">
      <c r="A117" t="s">
        <v>888</v>
      </c>
      <c r="C117" t="s">
        <v>889</v>
      </c>
      <c r="E117" t="s">
        <v>661</v>
      </c>
      <c r="G117" t="s">
        <v>890</v>
      </c>
      <c r="R117" s="2">
        <v>6.27</v>
      </c>
      <c r="S117" s="2">
        <v>11.19</v>
      </c>
      <c r="U117" t="s">
        <v>891</v>
      </c>
      <c r="Y117" t="s">
        <v>892</v>
      </c>
      <c r="AA117" t="s">
        <v>621</v>
      </c>
      <c r="AG117" t="s">
        <v>55</v>
      </c>
      <c r="AM117" t="s">
        <v>531</v>
      </c>
      <c r="AO117" t="s">
        <v>136</v>
      </c>
      <c r="AQ117" t="s">
        <v>893</v>
      </c>
      <c r="AU117" t="s">
        <v>172</v>
      </c>
      <c r="AV117" t="s">
        <v>158</v>
      </c>
    </row>
    <row r="118" spans="1:48" x14ac:dyDescent="0.3">
      <c r="A118" t="s">
        <v>894</v>
      </c>
      <c r="C118" t="s">
        <v>895</v>
      </c>
      <c r="E118" t="s">
        <v>534</v>
      </c>
      <c r="G118" t="s">
        <v>896</v>
      </c>
      <c r="R118" s="2">
        <v>7.56</v>
      </c>
      <c r="S118" s="2">
        <v>13.2</v>
      </c>
      <c r="X118" t="s">
        <v>897</v>
      </c>
      <c r="AC118" t="s">
        <v>898</v>
      </c>
      <c r="AE118" t="s">
        <v>899</v>
      </c>
      <c r="AF118" t="s">
        <v>158</v>
      </c>
      <c r="AM118" t="s">
        <v>900</v>
      </c>
      <c r="AO118" t="s">
        <v>56</v>
      </c>
      <c r="AQ118" t="s">
        <v>901</v>
      </c>
      <c r="AU118" t="s">
        <v>59</v>
      </c>
      <c r="AV118" t="s">
        <v>94</v>
      </c>
    </row>
    <row r="119" spans="1:48" x14ac:dyDescent="0.3">
      <c r="A119" t="s">
        <v>902</v>
      </c>
      <c r="C119" t="s">
        <v>903</v>
      </c>
      <c r="E119" t="s">
        <v>386</v>
      </c>
      <c r="G119" t="s">
        <v>904</v>
      </c>
      <c r="R119" s="2">
        <v>9.23</v>
      </c>
      <c r="S119" s="2">
        <v>13.26</v>
      </c>
      <c r="X119" t="s">
        <v>905</v>
      </c>
      <c r="AC119" t="s">
        <v>906</v>
      </c>
      <c r="AE119" t="s">
        <v>907</v>
      </c>
      <c r="AF119" t="s">
        <v>121</v>
      </c>
      <c r="AM119" t="s">
        <v>908</v>
      </c>
      <c r="AO119" t="s">
        <v>462</v>
      </c>
      <c r="AQ119" t="s">
        <v>909</v>
      </c>
      <c r="AU119" t="s">
        <v>70</v>
      </c>
      <c r="AV119" t="s">
        <v>60</v>
      </c>
    </row>
    <row r="120" spans="1:48" x14ac:dyDescent="0.3">
      <c r="A120" t="s">
        <v>910</v>
      </c>
      <c r="C120" t="s">
        <v>911</v>
      </c>
      <c r="E120" t="s">
        <v>471</v>
      </c>
      <c r="G120" t="s">
        <v>912</v>
      </c>
      <c r="R120" s="2">
        <v>8.5500000000000007</v>
      </c>
      <c r="S120" s="2">
        <v>11.15</v>
      </c>
      <c r="X120" t="s">
        <v>913</v>
      </c>
      <c r="AC120" t="s">
        <v>824</v>
      </c>
      <c r="AE120" t="s">
        <v>914</v>
      </c>
      <c r="AF120" t="s">
        <v>66</v>
      </c>
      <c r="AM120" t="s">
        <v>63</v>
      </c>
      <c r="AO120" t="s">
        <v>56</v>
      </c>
      <c r="AQ120" t="s">
        <v>472</v>
      </c>
      <c r="AU120" t="s">
        <v>70</v>
      </c>
      <c r="AV120" t="s">
        <v>158</v>
      </c>
    </row>
    <row r="121" spans="1:48" x14ac:dyDescent="0.3">
      <c r="A121" t="s">
        <v>915</v>
      </c>
      <c r="C121" t="s">
        <v>916</v>
      </c>
      <c r="E121" t="s">
        <v>304</v>
      </c>
      <c r="G121" t="s">
        <v>917</v>
      </c>
      <c r="R121" s="2">
        <v>7.01</v>
      </c>
      <c r="S121" s="2">
        <v>9.84</v>
      </c>
      <c r="X121" t="s">
        <v>918</v>
      </c>
      <c r="AC121" t="s">
        <v>919</v>
      </c>
      <c r="AE121" t="s">
        <v>284</v>
      </c>
      <c r="AF121" t="s">
        <v>121</v>
      </c>
      <c r="AM121" t="s">
        <v>63</v>
      </c>
      <c r="AO121" t="s">
        <v>439</v>
      </c>
      <c r="AQ121" t="s">
        <v>920</v>
      </c>
      <c r="AU121" t="s">
        <v>147</v>
      </c>
      <c r="AV121" t="s">
        <v>158</v>
      </c>
    </row>
    <row r="122" spans="1:48" x14ac:dyDescent="0.3">
      <c r="A122" t="s">
        <v>921</v>
      </c>
      <c r="C122" t="s">
        <v>922</v>
      </c>
      <c r="E122" t="s">
        <v>50</v>
      </c>
      <c r="G122" t="s">
        <v>923</v>
      </c>
      <c r="R122" s="2">
        <v>7.8</v>
      </c>
      <c r="S122" s="2">
        <v>10.57</v>
      </c>
      <c r="X122" t="s">
        <v>924</v>
      </c>
      <c r="AC122" t="s">
        <v>925</v>
      </c>
      <c r="AE122" t="s">
        <v>926</v>
      </c>
      <c r="AF122" t="s">
        <v>79</v>
      </c>
      <c r="AM122" t="s">
        <v>117</v>
      </c>
      <c r="AO122" t="s">
        <v>123</v>
      </c>
      <c r="AQ122" t="s">
        <v>927</v>
      </c>
      <c r="AU122" t="s">
        <v>70</v>
      </c>
      <c r="AV122" t="s">
        <v>134</v>
      </c>
    </row>
    <row r="123" spans="1:48" x14ac:dyDescent="0.3">
      <c r="A123" t="s">
        <v>928</v>
      </c>
      <c r="C123" t="s">
        <v>929</v>
      </c>
      <c r="E123" t="s">
        <v>930</v>
      </c>
      <c r="G123" t="s">
        <v>931</v>
      </c>
      <c r="R123" s="2">
        <v>10.19</v>
      </c>
      <c r="S123" s="2">
        <v>13.47</v>
      </c>
      <c r="U123" t="s">
        <v>932</v>
      </c>
      <c r="Y123" t="s">
        <v>933</v>
      </c>
      <c r="AA123" t="s">
        <v>934</v>
      </c>
      <c r="AG123" t="s">
        <v>79</v>
      </c>
      <c r="AM123" t="s">
        <v>251</v>
      </c>
      <c r="AO123" s="3" t="s">
        <v>500</v>
      </c>
      <c r="AQ123" t="s">
        <v>935</v>
      </c>
      <c r="AU123" t="s">
        <v>172</v>
      </c>
      <c r="AV123" t="s">
        <v>133</v>
      </c>
    </row>
    <row r="124" spans="1:48" x14ac:dyDescent="0.3">
      <c r="A124" t="s">
        <v>936</v>
      </c>
      <c r="C124" t="s">
        <v>544</v>
      </c>
      <c r="E124" t="s">
        <v>386</v>
      </c>
      <c r="G124" t="s">
        <v>937</v>
      </c>
      <c r="J124" t="s">
        <v>730</v>
      </c>
      <c r="L124" t="s">
        <v>938</v>
      </c>
      <c r="R124" s="2">
        <v>11.71</v>
      </c>
      <c r="S124" s="2">
        <v>13.51</v>
      </c>
      <c r="U124" t="s">
        <v>939</v>
      </c>
      <c r="Y124" t="s">
        <v>722</v>
      </c>
      <c r="AA124" t="s">
        <v>56</v>
      </c>
      <c r="AG124" t="s">
        <v>133</v>
      </c>
      <c r="AM124" t="s">
        <v>56</v>
      </c>
      <c r="AO124" t="s">
        <v>374</v>
      </c>
      <c r="AQ124" t="s">
        <v>940</v>
      </c>
      <c r="AU124" t="s">
        <v>228</v>
      </c>
      <c r="AV124" t="s">
        <v>249</v>
      </c>
    </row>
    <row r="125" spans="1:48" x14ac:dyDescent="0.3">
      <c r="A125" t="s">
        <v>941</v>
      </c>
      <c r="C125" t="s">
        <v>535</v>
      </c>
      <c r="E125" t="s">
        <v>661</v>
      </c>
      <c r="G125" t="s">
        <v>942</v>
      </c>
      <c r="J125" t="s">
        <v>67</v>
      </c>
      <c r="L125" s="1" t="s">
        <v>943</v>
      </c>
      <c r="M125" s="1"/>
      <c r="N125" s="1"/>
      <c r="R125" s="2">
        <v>12.56</v>
      </c>
      <c r="S125" s="2">
        <v>14.42</v>
      </c>
      <c r="U125" t="s">
        <v>716</v>
      </c>
      <c r="Y125" t="s">
        <v>944</v>
      </c>
      <c r="AA125" t="s">
        <v>236</v>
      </c>
      <c r="AG125" t="s">
        <v>59</v>
      </c>
      <c r="AM125" t="s">
        <v>391</v>
      </c>
      <c r="AO125" t="s">
        <v>945</v>
      </c>
      <c r="AQ125" t="s">
        <v>946</v>
      </c>
      <c r="AU125" t="s">
        <v>107</v>
      </c>
      <c r="AV125" t="s">
        <v>274</v>
      </c>
    </row>
    <row r="126" spans="1:48" x14ac:dyDescent="0.3">
      <c r="A126" t="s">
        <v>947</v>
      </c>
      <c r="C126" t="s">
        <v>524</v>
      </c>
      <c r="E126" t="s">
        <v>386</v>
      </c>
      <c r="G126" t="s">
        <v>948</v>
      </c>
      <c r="J126" t="s">
        <v>435</v>
      </c>
      <c r="L126" t="s">
        <v>949</v>
      </c>
      <c r="R126" s="2">
        <v>9.73</v>
      </c>
      <c r="S126" s="2">
        <v>12.67</v>
      </c>
      <c r="U126" t="s">
        <v>950</v>
      </c>
      <c r="Y126" t="s">
        <v>951</v>
      </c>
      <c r="AA126" t="s">
        <v>249</v>
      </c>
      <c r="AG126" t="s">
        <v>90</v>
      </c>
      <c r="AM126" t="s">
        <v>123</v>
      </c>
      <c r="AO126" t="s">
        <v>311</v>
      </c>
      <c r="AQ126" t="s">
        <v>952</v>
      </c>
      <c r="AU126" t="s">
        <v>107</v>
      </c>
      <c r="AV126" t="s">
        <v>134</v>
      </c>
    </row>
    <row r="127" spans="1:48" x14ac:dyDescent="0.3">
      <c r="A127" t="s">
        <v>953</v>
      </c>
      <c r="C127" t="s">
        <v>661</v>
      </c>
      <c r="E127" t="s">
        <v>377</v>
      </c>
      <c r="G127" t="s">
        <v>954</v>
      </c>
      <c r="J127" t="s">
        <v>955</v>
      </c>
      <c r="L127" t="s">
        <v>458</v>
      </c>
      <c r="R127" s="2">
        <v>8.17</v>
      </c>
      <c r="S127" s="2">
        <v>9.42</v>
      </c>
      <c r="U127" t="s">
        <v>655</v>
      </c>
      <c r="Y127" t="s">
        <v>684</v>
      </c>
      <c r="AA127" t="s">
        <v>298</v>
      </c>
      <c r="AG127" t="s">
        <v>55</v>
      </c>
      <c r="AM127" t="s">
        <v>134</v>
      </c>
      <c r="AO127" t="s">
        <v>117</v>
      </c>
      <c r="AQ127" t="s">
        <v>957</v>
      </c>
      <c r="AU127" t="s">
        <v>71</v>
      </c>
      <c r="AV127" t="s">
        <v>249</v>
      </c>
    </row>
    <row r="128" spans="1:48" x14ac:dyDescent="0.3">
      <c r="A128" t="s">
        <v>958</v>
      </c>
      <c r="C128" t="s">
        <v>535</v>
      </c>
      <c r="E128" t="s">
        <v>661</v>
      </c>
      <c r="G128" t="s">
        <v>959</v>
      </c>
      <c r="J128" t="s">
        <v>425</v>
      </c>
      <c r="L128" t="s">
        <v>960</v>
      </c>
      <c r="R128" s="2">
        <v>9.23</v>
      </c>
      <c r="S128" s="2">
        <v>11.99</v>
      </c>
      <c r="U128" t="s">
        <v>611</v>
      </c>
      <c r="Y128" t="s">
        <v>477</v>
      </c>
      <c r="AA128" t="s">
        <v>386</v>
      </c>
      <c r="AG128" t="s">
        <v>63</v>
      </c>
      <c r="AM128" t="s">
        <v>383</v>
      </c>
      <c r="AO128" t="s">
        <v>251</v>
      </c>
      <c r="AQ128" t="s">
        <v>961</v>
      </c>
      <c r="AU128" t="s">
        <v>228</v>
      </c>
      <c r="AV128" t="s">
        <v>134</v>
      </c>
    </row>
    <row r="129" spans="1:48" x14ac:dyDescent="0.3">
      <c r="A129" t="s">
        <v>962</v>
      </c>
      <c r="C129" t="s">
        <v>687</v>
      </c>
      <c r="E129" t="s">
        <v>554</v>
      </c>
      <c r="G129" t="s">
        <v>963</v>
      </c>
      <c r="R129" s="2">
        <v>7.45</v>
      </c>
      <c r="S129" s="2">
        <v>10.55</v>
      </c>
      <c r="U129" t="s">
        <v>964</v>
      </c>
      <c r="Y129" t="s">
        <v>965</v>
      </c>
      <c r="AA129" t="s">
        <v>966</v>
      </c>
      <c r="AG129" t="s">
        <v>107</v>
      </c>
      <c r="AM129" t="s">
        <v>391</v>
      </c>
      <c r="AO129" t="s">
        <v>714</v>
      </c>
      <c r="AQ129" t="s">
        <v>967</v>
      </c>
      <c r="AU129" t="s">
        <v>147</v>
      </c>
      <c r="AV129" t="s">
        <v>60</v>
      </c>
    </row>
    <row r="130" spans="1:48" x14ac:dyDescent="0.3">
      <c r="A130" t="s">
        <v>968</v>
      </c>
      <c r="C130" t="s">
        <v>853</v>
      </c>
      <c r="E130" t="s">
        <v>535</v>
      </c>
      <c r="G130" t="s">
        <v>969</v>
      </c>
      <c r="R130" s="2">
        <v>8.19</v>
      </c>
      <c r="S130" s="2">
        <v>9.91</v>
      </c>
      <c r="X130" t="s">
        <v>970</v>
      </c>
      <c r="AC130" t="s">
        <v>701</v>
      </c>
      <c r="AE130" t="s">
        <v>698</v>
      </c>
      <c r="AF130" t="s">
        <v>71</v>
      </c>
      <c r="AM130" t="s">
        <v>117</v>
      </c>
      <c r="AO130" t="s">
        <v>276</v>
      </c>
      <c r="AQ130" t="s">
        <v>971</v>
      </c>
      <c r="AU130" t="s">
        <v>228</v>
      </c>
      <c r="AV130" t="s">
        <v>60</v>
      </c>
    </row>
    <row r="131" spans="1:48" x14ac:dyDescent="0.3">
      <c r="A131" t="s">
        <v>972</v>
      </c>
      <c r="C131" t="s">
        <v>973</v>
      </c>
      <c r="E131" t="s">
        <v>531</v>
      </c>
      <c r="G131" t="s">
        <v>974</v>
      </c>
      <c r="R131" s="2">
        <v>7.15</v>
      </c>
      <c r="S131" s="2">
        <v>12.49</v>
      </c>
      <c r="X131" t="s">
        <v>663</v>
      </c>
      <c r="AC131" t="s">
        <v>975</v>
      </c>
      <c r="AE131" t="s">
        <v>305</v>
      </c>
      <c r="AF131" t="s">
        <v>249</v>
      </c>
      <c r="AM131" t="s">
        <v>873</v>
      </c>
      <c r="AO131" t="s">
        <v>976</v>
      </c>
      <c r="AQ131" t="s">
        <v>977</v>
      </c>
      <c r="AU131" t="s">
        <v>70</v>
      </c>
      <c r="AV131" t="s">
        <v>147</v>
      </c>
    </row>
    <row r="132" spans="1:48" x14ac:dyDescent="0.3">
      <c r="A132" t="s">
        <v>978</v>
      </c>
      <c r="C132" t="s">
        <v>386</v>
      </c>
      <c r="E132" t="s">
        <v>511</v>
      </c>
      <c r="G132" t="s">
        <v>979</v>
      </c>
      <c r="R132" s="2">
        <v>7.84</v>
      </c>
      <c r="S132" s="2">
        <v>9.26</v>
      </c>
      <c r="X132" t="s">
        <v>980</v>
      </c>
      <c r="AC132" t="s">
        <v>981</v>
      </c>
      <c r="AE132" t="s">
        <v>926</v>
      </c>
      <c r="AF132" t="s">
        <v>123</v>
      </c>
      <c r="AM132" t="s">
        <v>724</v>
      </c>
      <c r="AO132" t="s">
        <v>71</v>
      </c>
      <c r="AQ132" t="s">
        <v>982</v>
      </c>
      <c r="AU132" t="s">
        <v>70</v>
      </c>
      <c r="AV132" t="s">
        <v>300</v>
      </c>
    </row>
    <row r="133" spans="1:48" x14ac:dyDescent="0.3">
      <c r="A133" t="s">
        <v>983</v>
      </c>
      <c r="C133" t="s">
        <v>193</v>
      </c>
      <c r="E133" t="s">
        <v>297</v>
      </c>
      <c r="G133" t="s">
        <v>984</v>
      </c>
      <c r="R133" s="2">
        <v>9.9499999999999993</v>
      </c>
      <c r="S133" s="2">
        <v>13.26</v>
      </c>
      <c r="X133" t="s">
        <v>476</v>
      </c>
      <c r="AC133" t="s">
        <v>985</v>
      </c>
      <c r="AE133" t="s">
        <v>793</v>
      </c>
      <c r="AF133" t="s">
        <v>123</v>
      </c>
      <c r="AM133" t="s">
        <v>172</v>
      </c>
      <c r="AO133" t="s">
        <v>56</v>
      </c>
      <c r="AQ133" t="s">
        <v>986</v>
      </c>
      <c r="AU133" t="s">
        <v>70</v>
      </c>
      <c r="AV133" t="s">
        <v>147</v>
      </c>
    </row>
    <row r="134" spans="1:48" x14ac:dyDescent="0.3">
      <c r="A134" t="s">
        <v>987</v>
      </c>
      <c r="C134" t="s">
        <v>988</v>
      </c>
      <c r="E134" t="s">
        <v>744</v>
      </c>
      <c r="G134" t="s">
        <v>989</v>
      </c>
      <c r="R134" s="2">
        <v>9.6</v>
      </c>
      <c r="S134" s="2">
        <v>14.57</v>
      </c>
      <c r="X134" t="s">
        <v>970</v>
      </c>
      <c r="AC134" t="s">
        <v>575</v>
      </c>
      <c r="AE134" t="s">
        <v>525</v>
      </c>
      <c r="AF134" t="s">
        <v>55</v>
      </c>
      <c r="AM134" t="s">
        <v>245</v>
      </c>
      <c r="AO134" t="s">
        <v>108</v>
      </c>
      <c r="AQ134" t="s">
        <v>990</v>
      </c>
      <c r="AU134" t="s">
        <v>70</v>
      </c>
      <c r="AV134" t="s">
        <v>147</v>
      </c>
    </row>
    <row r="135" spans="1:48" x14ac:dyDescent="0.3">
      <c r="A135" t="s">
        <v>991</v>
      </c>
      <c r="C135" t="s">
        <v>857</v>
      </c>
      <c r="E135" t="s">
        <v>524</v>
      </c>
      <c r="G135" t="s">
        <v>992</v>
      </c>
      <c r="R135" s="2">
        <v>10.1</v>
      </c>
      <c r="S135" s="2">
        <v>13.65</v>
      </c>
      <c r="U135" t="s">
        <v>993</v>
      </c>
      <c r="Y135" t="s">
        <v>994</v>
      </c>
      <c r="AA135" t="s">
        <v>276</v>
      </c>
      <c r="AG135" t="s">
        <v>158</v>
      </c>
      <c r="AM135" t="s">
        <v>521</v>
      </c>
      <c r="AO135" t="s">
        <v>439</v>
      </c>
      <c r="AQ135" t="s">
        <v>995</v>
      </c>
      <c r="AU135" t="s">
        <v>172</v>
      </c>
      <c r="AV135" t="s">
        <v>107</v>
      </c>
    </row>
    <row r="136" spans="1:48" x14ac:dyDescent="0.3">
      <c r="A136" t="s">
        <v>996</v>
      </c>
      <c r="C136" t="s">
        <v>566</v>
      </c>
      <c r="E136" t="s">
        <v>378</v>
      </c>
      <c r="G136" t="s">
        <v>997</v>
      </c>
      <c r="J136" t="s">
        <v>206</v>
      </c>
      <c r="L136" t="s">
        <v>435</v>
      </c>
      <c r="R136" s="2">
        <v>7.92</v>
      </c>
      <c r="S136" s="2">
        <v>12.35</v>
      </c>
      <c r="U136" t="s">
        <v>998</v>
      </c>
      <c r="Y136" t="s">
        <v>999</v>
      </c>
      <c r="AA136" t="s">
        <v>570</v>
      </c>
      <c r="AG136" t="s">
        <v>70</v>
      </c>
      <c r="AM136" t="s">
        <v>123</v>
      </c>
      <c r="AO136" t="s">
        <v>446</v>
      </c>
      <c r="AQ136" t="s">
        <v>1000</v>
      </c>
      <c r="AU136" t="s">
        <v>63</v>
      </c>
      <c r="AV136" t="s">
        <v>71</v>
      </c>
    </row>
    <row r="137" spans="1:48" x14ac:dyDescent="0.3">
      <c r="A137" t="s">
        <v>1001</v>
      </c>
      <c r="C137" t="s">
        <v>1002</v>
      </c>
      <c r="E137" t="s">
        <v>1003</v>
      </c>
      <c r="G137" t="s">
        <v>1004</v>
      </c>
      <c r="J137" t="s">
        <v>955</v>
      </c>
      <c r="L137" t="s">
        <v>1005</v>
      </c>
      <c r="R137" s="2">
        <v>10.4</v>
      </c>
      <c r="S137" s="2">
        <v>12.72</v>
      </c>
      <c r="U137" t="s">
        <v>1006</v>
      </c>
      <c r="Y137" t="s">
        <v>438</v>
      </c>
      <c r="AA137" t="s">
        <v>84</v>
      </c>
      <c r="AG137" t="s">
        <v>788</v>
      </c>
      <c r="AM137" t="s">
        <v>1007</v>
      </c>
      <c r="AO137" t="s">
        <v>1008</v>
      </c>
      <c r="AQ137" t="s">
        <v>1009</v>
      </c>
      <c r="AU137" t="s">
        <v>750</v>
      </c>
      <c r="AV137" t="s">
        <v>1010</v>
      </c>
    </row>
    <row r="138" spans="1:48" x14ac:dyDescent="0.3">
      <c r="A138" t="s">
        <v>1011</v>
      </c>
      <c r="C138" t="s">
        <v>1012</v>
      </c>
      <c r="E138" t="s">
        <v>707</v>
      </c>
      <c r="G138" t="s">
        <v>1013</v>
      </c>
      <c r="J138" t="s">
        <v>1014</v>
      </c>
      <c r="L138" s="1" t="s">
        <v>1015</v>
      </c>
      <c r="M138" s="1"/>
      <c r="N138" s="1"/>
      <c r="R138" s="2">
        <v>10</v>
      </c>
      <c r="S138" s="2">
        <v>12</v>
      </c>
      <c r="U138" t="s">
        <v>1016</v>
      </c>
      <c r="Y138" t="s">
        <v>177</v>
      </c>
      <c r="AA138" t="s">
        <v>518</v>
      </c>
      <c r="AG138" t="s">
        <v>274</v>
      </c>
      <c r="AM138" t="s">
        <v>276</v>
      </c>
      <c r="AO138" t="s">
        <v>832</v>
      </c>
      <c r="AQ138" t="s">
        <v>1017</v>
      </c>
      <c r="AU138" t="s">
        <v>228</v>
      </c>
      <c r="AV138" t="s">
        <v>60</v>
      </c>
    </row>
    <row r="139" spans="1:48" x14ac:dyDescent="0.3">
      <c r="A139" t="s">
        <v>1018</v>
      </c>
      <c r="C139" t="s">
        <v>50</v>
      </c>
      <c r="E139" t="s">
        <v>793</v>
      </c>
      <c r="G139" t="s">
        <v>1019</v>
      </c>
      <c r="J139" t="s">
        <v>729</v>
      </c>
      <c r="L139" t="s">
        <v>1020</v>
      </c>
      <c r="R139" s="2">
        <v>9.6</v>
      </c>
      <c r="S139" s="2">
        <v>11.8</v>
      </c>
      <c r="U139" t="s">
        <v>1021</v>
      </c>
      <c r="Y139" t="s">
        <v>710</v>
      </c>
      <c r="AA139" t="s">
        <v>1022</v>
      </c>
      <c r="AG139" t="s">
        <v>1023</v>
      </c>
      <c r="AM139" t="s">
        <v>446</v>
      </c>
      <c r="AO139" t="s">
        <v>1024</v>
      </c>
      <c r="AQ139" t="s">
        <v>1025</v>
      </c>
      <c r="AU139" t="s">
        <v>1026</v>
      </c>
      <c r="AV139" t="s">
        <v>1027</v>
      </c>
    </row>
    <row r="140" spans="1:48" x14ac:dyDescent="0.3">
      <c r="A140" t="s">
        <v>1028</v>
      </c>
      <c r="C140" t="s">
        <v>298</v>
      </c>
      <c r="E140" t="s">
        <v>84</v>
      </c>
      <c r="G140" t="s">
        <v>1029</v>
      </c>
      <c r="J140" t="s">
        <v>433</v>
      </c>
      <c r="L140" s="1" t="s">
        <v>1030</v>
      </c>
      <c r="M140" s="1"/>
      <c r="N140" s="1"/>
      <c r="R140" s="2">
        <v>9.9</v>
      </c>
      <c r="S140" s="2">
        <v>12.1</v>
      </c>
      <c r="U140" t="s">
        <v>1031</v>
      </c>
      <c r="Y140" t="s">
        <v>1032</v>
      </c>
      <c r="AA140" t="s">
        <v>123</v>
      </c>
      <c r="AG140" t="s">
        <v>71</v>
      </c>
      <c r="AM140" t="s">
        <v>156</v>
      </c>
      <c r="AO140" t="s">
        <v>1033</v>
      </c>
      <c r="AQ140" t="s">
        <v>1034</v>
      </c>
      <c r="AU140" t="s">
        <v>70</v>
      </c>
      <c r="AV140" t="s">
        <v>71</v>
      </c>
    </row>
    <row r="141" spans="1:48" x14ac:dyDescent="0.3">
      <c r="A141" t="s">
        <v>1035</v>
      </c>
      <c r="C141" t="s">
        <v>449</v>
      </c>
      <c r="E141" t="s">
        <v>167</v>
      </c>
      <c r="G141" t="s">
        <v>1036</v>
      </c>
      <c r="R141" s="2">
        <v>10.5</v>
      </c>
      <c r="S141" s="2">
        <v>13.6</v>
      </c>
      <c r="U141" t="s">
        <v>638</v>
      </c>
      <c r="Y141" t="s">
        <v>638</v>
      </c>
      <c r="AA141" t="s">
        <v>49</v>
      </c>
      <c r="AG141" t="s">
        <v>206</v>
      </c>
      <c r="AM141" t="s">
        <v>66</v>
      </c>
      <c r="AO141" t="s">
        <v>440</v>
      </c>
      <c r="AQ141" t="s">
        <v>1038</v>
      </c>
      <c r="AU141" t="s">
        <v>228</v>
      </c>
      <c r="AV141" t="s">
        <v>71</v>
      </c>
    </row>
    <row r="142" spans="1:48" x14ac:dyDescent="0.3">
      <c r="A142" t="s">
        <v>1039</v>
      </c>
      <c r="C142" t="s">
        <v>297</v>
      </c>
      <c r="E142" t="s">
        <v>541</v>
      </c>
      <c r="G142" t="s">
        <v>1040</v>
      </c>
      <c r="R142" s="2">
        <v>8.1</v>
      </c>
      <c r="S142" s="2">
        <v>9.3000000000000007</v>
      </c>
      <c r="X142" t="s">
        <v>549</v>
      </c>
      <c r="AC142" t="s">
        <v>549</v>
      </c>
      <c r="AE142" t="s">
        <v>133</v>
      </c>
      <c r="AF142" t="s">
        <v>1041</v>
      </c>
      <c r="AM142" t="s">
        <v>252</v>
      </c>
      <c r="AO142" t="s">
        <v>1042</v>
      </c>
      <c r="AQ142" t="s">
        <v>1043</v>
      </c>
      <c r="AU142" t="s">
        <v>1044</v>
      </c>
      <c r="AV142" t="s">
        <v>1045</v>
      </c>
    </row>
    <row r="143" spans="1:48" x14ac:dyDescent="0.3">
      <c r="A143" t="s">
        <v>1046</v>
      </c>
      <c r="C143" t="s">
        <v>511</v>
      </c>
      <c r="E143" t="s">
        <v>541</v>
      </c>
      <c r="G143" t="s">
        <v>1047</v>
      </c>
      <c r="R143" s="2">
        <v>7.08</v>
      </c>
      <c r="S143" s="2">
        <v>9.6300000000000008</v>
      </c>
      <c r="X143" t="s">
        <v>381</v>
      </c>
      <c r="AC143" t="s">
        <v>378</v>
      </c>
      <c r="AE143" t="s">
        <v>617</v>
      </c>
      <c r="AF143" t="s">
        <v>249</v>
      </c>
      <c r="AM143" t="s">
        <v>56</v>
      </c>
      <c r="AO143" t="s">
        <v>1048</v>
      </c>
      <c r="AQ143" t="s">
        <v>1049</v>
      </c>
      <c r="AU143" t="s">
        <v>1050</v>
      </c>
      <c r="AV143" t="s">
        <v>1051</v>
      </c>
    </row>
    <row r="144" spans="1:48" x14ac:dyDescent="0.3">
      <c r="A144" t="s">
        <v>1052</v>
      </c>
      <c r="C144" t="s">
        <v>84</v>
      </c>
      <c r="E144" t="s">
        <v>74</v>
      </c>
      <c r="G144" t="s">
        <v>1053</v>
      </c>
      <c r="R144" s="2">
        <v>5.0999999999999996</v>
      </c>
      <c r="S144" s="2">
        <v>8.1</v>
      </c>
      <c r="X144" t="s">
        <v>1016</v>
      </c>
      <c r="AC144" t="s">
        <v>643</v>
      </c>
      <c r="AE144" t="s">
        <v>1054</v>
      </c>
      <c r="AF144" t="s">
        <v>1055</v>
      </c>
      <c r="AM144" t="s">
        <v>123</v>
      </c>
      <c r="AO144" t="s">
        <v>289</v>
      </c>
      <c r="AQ144" t="s">
        <v>1056</v>
      </c>
      <c r="AU144" t="s">
        <v>1057</v>
      </c>
      <c r="AV144" t="s">
        <v>1058</v>
      </c>
    </row>
    <row r="145" spans="1:48" x14ac:dyDescent="0.3">
      <c r="A145" t="s">
        <v>1059</v>
      </c>
      <c r="C145" t="s">
        <v>305</v>
      </c>
      <c r="E145" t="s">
        <v>167</v>
      </c>
      <c r="G145" t="s">
        <v>1060</v>
      </c>
      <c r="R145" s="2">
        <v>6.2</v>
      </c>
      <c r="S145" s="2">
        <v>9.1</v>
      </c>
      <c r="X145" t="s">
        <v>372</v>
      </c>
      <c r="AC145" t="s">
        <v>381</v>
      </c>
      <c r="AE145" t="s">
        <v>416</v>
      </c>
      <c r="AF145" t="s">
        <v>274</v>
      </c>
      <c r="AM145" t="s">
        <v>274</v>
      </c>
      <c r="AO145" t="s">
        <v>276</v>
      </c>
      <c r="AQ145" t="s">
        <v>1061</v>
      </c>
      <c r="AU145" t="s">
        <v>1062</v>
      </c>
      <c r="AV145" t="s">
        <v>1063</v>
      </c>
    </row>
    <row r="146" spans="1:48" x14ac:dyDescent="0.3">
      <c r="A146" t="s">
        <v>1064</v>
      </c>
      <c r="C146" t="s">
        <v>386</v>
      </c>
      <c r="E146" t="s">
        <v>305</v>
      </c>
      <c r="G146" t="s">
        <v>1065</v>
      </c>
      <c r="R146" s="2">
        <v>8.9</v>
      </c>
      <c r="S146" s="2">
        <v>11.2</v>
      </c>
      <c r="X146" t="s">
        <v>438</v>
      </c>
      <c r="AC146" t="s">
        <v>429</v>
      </c>
      <c r="AE146" t="s">
        <v>301</v>
      </c>
      <c r="AF146" t="s">
        <v>396</v>
      </c>
      <c r="AM146" t="s">
        <v>134</v>
      </c>
      <c r="AO146" t="s">
        <v>123</v>
      </c>
      <c r="AQ146" t="s">
        <v>1066</v>
      </c>
      <c r="AU146" t="s">
        <v>1067</v>
      </c>
      <c r="AV146" t="s">
        <v>1068</v>
      </c>
    </row>
    <row r="147" spans="1:48" x14ac:dyDescent="0.3">
      <c r="A147" t="s">
        <v>1069</v>
      </c>
      <c r="C147" t="s">
        <v>84</v>
      </c>
      <c r="E147" t="s">
        <v>62</v>
      </c>
      <c r="G147" t="s">
        <v>1070</v>
      </c>
      <c r="R147" s="2">
        <v>4</v>
      </c>
      <c r="S147" s="2">
        <v>10.5</v>
      </c>
      <c r="U147" t="s">
        <v>548</v>
      </c>
      <c r="Y147" t="s">
        <v>862</v>
      </c>
      <c r="AA147" t="s">
        <v>305</v>
      </c>
      <c r="AG147" t="s">
        <v>439</v>
      </c>
      <c r="AM147" t="s">
        <v>873</v>
      </c>
      <c r="AO147" t="s">
        <v>1071</v>
      </c>
      <c r="AQ147" t="s">
        <v>1072</v>
      </c>
      <c r="AU147" t="s">
        <v>172</v>
      </c>
      <c r="AV147" t="s">
        <v>147</v>
      </c>
    </row>
    <row r="148" spans="1:48" x14ac:dyDescent="0.3">
      <c r="A148" t="s">
        <v>1073</v>
      </c>
      <c r="C148" t="s">
        <v>160</v>
      </c>
      <c r="E148" t="s">
        <v>707</v>
      </c>
      <c r="G148" t="s">
        <v>1074</v>
      </c>
      <c r="J148" t="s">
        <v>443</v>
      </c>
      <c r="L148" t="s">
        <v>1075</v>
      </c>
      <c r="R148" s="2">
        <v>9.8000000000000007</v>
      </c>
      <c r="S148" s="2">
        <v>12.9</v>
      </c>
      <c r="U148" t="s">
        <v>1076</v>
      </c>
      <c r="Y148" t="s">
        <v>1021</v>
      </c>
      <c r="AA148" t="s">
        <v>1077</v>
      </c>
      <c r="AG148" t="s">
        <v>63</v>
      </c>
      <c r="AM148" t="s">
        <v>182</v>
      </c>
      <c r="AO148" t="s">
        <v>879</v>
      </c>
      <c r="AQ148" t="s">
        <v>1078</v>
      </c>
      <c r="AU148" t="s">
        <v>172</v>
      </c>
      <c r="AV148" t="s">
        <v>158</v>
      </c>
    </row>
    <row r="149" spans="1:48" x14ac:dyDescent="0.3">
      <c r="A149" t="s">
        <v>1079</v>
      </c>
      <c r="C149" t="s">
        <v>449</v>
      </c>
      <c r="E149" t="s">
        <v>50</v>
      </c>
      <c r="G149" t="s">
        <v>1080</v>
      </c>
      <c r="J149" t="s">
        <v>452</v>
      </c>
      <c r="L149" t="s">
        <v>1081</v>
      </c>
      <c r="R149" s="2">
        <v>7.7</v>
      </c>
      <c r="S149" s="2">
        <v>9.9</v>
      </c>
      <c r="U149" t="s">
        <v>1082</v>
      </c>
      <c r="Y149" t="s">
        <v>1083</v>
      </c>
      <c r="AA149" t="s">
        <v>293</v>
      </c>
      <c r="AG149" t="s">
        <v>55</v>
      </c>
      <c r="AM149" t="s">
        <v>155</v>
      </c>
      <c r="AO149" t="s">
        <v>307</v>
      </c>
      <c r="AQ149" t="s">
        <v>943</v>
      </c>
      <c r="AU149" t="s">
        <v>172</v>
      </c>
      <c r="AV149" t="s">
        <v>71</v>
      </c>
    </row>
    <row r="150" spans="1:48" x14ac:dyDescent="0.3">
      <c r="A150" t="s">
        <v>1084</v>
      </c>
      <c r="C150" t="s">
        <v>49</v>
      </c>
      <c r="E150" t="s">
        <v>96</v>
      </c>
      <c r="G150" t="s">
        <v>1085</v>
      </c>
      <c r="J150" t="s">
        <v>712</v>
      </c>
      <c r="L150" t="s">
        <v>1005</v>
      </c>
      <c r="R150" s="2">
        <v>5.9</v>
      </c>
      <c r="S150" s="2">
        <v>8.6</v>
      </c>
      <c r="U150" t="s">
        <v>1086</v>
      </c>
      <c r="Y150" t="s">
        <v>548</v>
      </c>
      <c r="AA150" t="s">
        <v>368</v>
      </c>
      <c r="AG150" t="s">
        <v>94</v>
      </c>
      <c r="AM150" t="s">
        <v>215</v>
      </c>
      <c r="AO150" t="s">
        <v>294</v>
      </c>
      <c r="AQ150" t="s">
        <v>1087</v>
      </c>
      <c r="AU150" t="s">
        <v>70</v>
      </c>
      <c r="AV150" t="s">
        <v>1088</v>
      </c>
    </row>
    <row r="151" spans="1:48" x14ac:dyDescent="0.3">
      <c r="A151" t="s">
        <v>1089</v>
      </c>
      <c r="C151" t="s">
        <v>525</v>
      </c>
      <c r="E151" t="s">
        <v>305</v>
      </c>
      <c r="G151" t="s">
        <v>1090</v>
      </c>
      <c r="J151" t="s">
        <v>410</v>
      </c>
      <c r="L151" t="s">
        <v>1091</v>
      </c>
      <c r="R151" s="2">
        <v>6.5</v>
      </c>
      <c r="S151" s="2">
        <v>9.1</v>
      </c>
      <c r="U151" t="s">
        <v>1092</v>
      </c>
      <c r="Y151" t="s">
        <v>1093</v>
      </c>
      <c r="AA151" t="s">
        <v>49</v>
      </c>
      <c r="AG151" t="s">
        <v>158</v>
      </c>
      <c r="AM151" t="s">
        <v>391</v>
      </c>
      <c r="AO151" t="s">
        <v>235</v>
      </c>
      <c r="AQ151" t="s">
        <v>1094</v>
      </c>
      <c r="AU151" t="s">
        <v>172</v>
      </c>
      <c r="AV151" t="s">
        <v>71</v>
      </c>
    </row>
    <row r="152" spans="1:48" x14ac:dyDescent="0.3">
      <c r="A152" t="s">
        <v>1095</v>
      </c>
      <c r="C152" t="s">
        <v>554</v>
      </c>
      <c r="E152" t="s">
        <v>298</v>
      </c>
      <c r="G152" t="s">
        <v>1096</v>
      </c>
      <c r="J152" t="s">
        <v>1097</v>
      </c>
      <c r="L152" s="1" t="s">
        <v>1015</v>
      </c>
      <c r="M152" s="1"/>
      <c r="N152" s="1"/>
      <c r="R152" s="2">
        <v>8.6</v>
      </c>
      <c r="S152" s="2">
        <v>10.9</v>
      </c>
      <c r="U152" t="s">
        <v>430</v>
      </c>
      <c r="Y152" t="s">
        <v>1098</v>
      </c>
      <c r="AA152" t="s">
        <v>144</v>
      </c>
      <c r="AG152" t="s">
        <v>816</v>
      </c>
      <c r="AM152" t="s">
        <v>56</v>
      </c>
      <c r="AO152" t="s">
        <v>777</v>
      </c>
      <c r="AQ152" t="s">
        <v>1099</v>
      </c>
      <c r="AU152" t="s">
        <v>1062</v>
      </c>
      <c r="AV152" t="s">
        <v>1100</v>
      </c>
    </row>
    <row r="153" spans="1:48" x14ac:dyDescent="0.3">
      <c r="A153" t="s">
        <v>1101</v>
      </c>
      <c r="C153" t="s">
        <v>525</v>
      </c>
      <c r="E153" t="s">
        <v>378</v>
      </c>
      <c r="G153" t="s">
        <v>1102</v>
      </c>
      <c r="R153" s="2">
        <v>9</v>
      </c>
      <c r="S153" s="2">
        <v>10.5</v>
      </c>
      <c r="U153" t="s">
        <v>381</v>
      </c>
      <c r="Y153" t="s">
        <v>1103</v>
      </c>
      <c r="AA153" t="s">
        <v>1104</v>
      </c>
      <c r="AG153" t="s">
        <v>228</v>
      </c>
      <c r="AM153" t="s">
        <v>63</v>
      </c>
      <c r="AO153" t="s">
        <v>147</v>
      </c>
      <c r="AQ153" t="s">
        <v>1105</v>
      </c>
      <c r="AU153" t="s">
        <v>172</v>
      </c>
      <c r="AV153" t="s">
        <v>107</v>
      </c>
    </row>
    <row r="154" spans="1:48" x14ac:dyDescent="0.3">
      <c r="A154" t="s">
        <v>1106</v>
      </c>
      <c r="C154" t="s">
        <v>84</v>
      </c>
      <c r="E154" t="s">
        <v>570</v>
      </c>
      <c r="G154" t="s">
        <v>1107</v>
      </c>
      <c r="R154" s="2">
        <v>6.9</v>
      </c>
      <c r="S154" s="2">
        <v>10.4</v>
      </c>
      <c r="X154" t="s">
        <v>1093</v>
      </c>
      <c r="AC154" t="s">
        <v>1098</v>
      </c>
      <c r="AE154" t="s">
        <v>1108</v>
      </c>
      <c r="AF154" t="s">
        <v>482</v>
      </c>
      <c r="AM154" t="s">
        <v>322</v>
      </c>
      <c r="AO154" t="s">
        <v>357</v>
      </c>
      <c r="AQ154" t="s">
        <v>1109</v>
      </c>
      <c r="AU154" t="s">
        <v>70</v>
      </c>
      <c r="AV154" t="s">
        <v>71</v>
      </c>
    </row>
    <row r="155" spans="1:48" x14ac:dyDescent="0.3">
      <c r="A155" t="s">
        <v>1110</v>
      </c>
      <c r="C155" t="s">
        <v>97</v>
      </c>
      <c r="E155" t="s">
        <v>172</v>
      </c>
      <c r="G155" t="s">
        <v>1111</v>
      </c>
      <c r="R155" s="2">
        <v>8</v>
      </c>
      <c r="S155" s="2">
        <v>11.3</v>
      </c>
      <c r="X155" t="s">
        <v>430</v>
      </c>
      <c r="AC155" t="s">
        <v>1098</v>
      </c>
      <c r="AE155" t="s">
        <v>1112</v>
      </c>
      <c r="AF155" t="s">
        <v>1113</v>
      </c>
      <c r="AM155" t="s">
        <v>407</v>
      </c>
      <c r="AO155" t="s">
        <v>1114</v>
      </c>
      <c r="AQ155" t="s">
        <v>1115</v>
      </c>
      <c r="AU155" t="s">
        <v>1116</v>
      </c>
      <c r="AV155" t="s">
        <v>107</v>
      </c>
    </row>
    <row r="156" spans="1:48" x14ac:dyDescent="0.3">
      <c r="A156" t="s">
        <v>1117</v>
      </c>
      <c r="C156" t="s">
        <v>74</v>
      </c>
      <c r="E156" t="s">
        <v>55</v>
      </c>
      <c r="G156" t="s">
        <v>1118</v>
      </c>
      <c r="R156" s="2">
        <v>11.1</v>
      </c>
      <c r="S156" s="2">
        <v>12.6</v>
      </c>
      <c r="X156" t="s">
        <v>1098</v>
      </c>
      <c r="AC156" t="s">
        <v>363</v>
      </c>
      <c r="AE156" t="s">
        <v>1119</v>
      </c>
      <c r="AF156" t="s">
        <v>1120</v>
      </c>
      <c r="AM156" t="s">
        <v>1121</v>
      </c>
      <c r="AO156" t="s">
        <v>211</v>
      </c>
      <c r="AQ156" t="s">
        <v>1122</v>
      </c>
      <c r="AU156" t="s">
        <v>55</v>
      </c>
      <c r="AV156" t="s">
        <v>107</v>
      </c>
    </row>
    <row r="157" spans="1:48" x14ac:dyDescent="0.3">
      <c r="A157" t="s">
        <v>1123</v>
      </c>
      <c r="C157" t="s">
        <v>177</v>
      </c>
      <c r="E157" t="s">
        <v>724</v>
      </c>
      <c r="G157" t="s">
        <v>1124</v>
      </c>
      <c r="R157" s="2">
        <v>6.4</v>
      </c>
      <c r="S157" s="2">
        <v>8.1</v>
      </c>
      <c r="X157" t="s">
        <v>381</v>
      </c>
      <c r="AC157" t="s">
        <v>371</v>
      </c>
      <c r="AE157" t="s">
        <v>1125</v>
      </c>
      <c r="AF157" t="s">
        <v>158</v>
      </c>
      <c r="AM157" t="s">
        <v>347</v>
      </c>
      <c r="AO157" t="s">
        <v>443</v>
      </c>
      <c r="AQ157" t="s">
        <v>1126</v>
      </c>
      <c r="AU157" t="s">
        <v>59</v>
      </c>
      <c r="AV157" t="s">
        <v>228</v>
      </c>
    </row>
    <row r="158" spans="1:48" x14ac:dyDescent="0.3">
      <c r="A158" t="s">
        <v>1127</v>
      </c>
      <c r="C158" t="s">
        <v>245</v>
      </c>
      <c r="E158" t="s">
        <v>133</v>
      </c>
      <c r="G158" t="s">
        <v>1128</v>
      </c>
      <c r="R158" s="2">
        <v>4.9000000000000004</v>
      </c>
      <c r="S158" s="2">
        <v>6.2</v>
      </c>
      <c r="X158" t="s">
        <v>409</v>
      </c>
      <c r="AC158" t="s">
        <v>1129</v>
      </c>
      <c r="AE158" t="s">
        <v>1130</v>
      </c>
      <c r="AF158" t="s">
        <v>1131</v>
      </c>
      <c r="AM158" t="s">
        <v>810</v>
      </c>
      <c r="AO158" t="s">
        <v>1132</v>
      </c>
      <c r="AQ158" t="s">
        <v>1133</v>
      </c>
      <c r="AU158" t="s">
        <v>55</v>
      </c>
      <c r="AV158" t="s">
        <v>107</v>
      </c>
    </row>
    <row r="159" spans="1:48" x14ac:dyDescent="0.3">
      <c r="A159" t="s">
        <v>1134</v>
      </c>
      <c r="C159" t="s">
        <v>73</v>
      </c>
      <c r="E159" t="s">
        <v>403</v>
      </c>
      <c r="G159" t="s">
        <v>1135</v>
      </c>
      <c r="R159" s="2">
        <v>7</v>
      </c>
      <c r="S159" s="2">
        <v>10.199999999999999</v>
      </c>
      <c r="U159" s="1" t="s">
        <v>73</v>
      </c>
      <c r="Y159" t="s">
        <v>724</v>
      </c>
      <c r="AA159" t="s">
        <v>1136</v>
      </c>
      <c r="AG159" t="s">
        <v>79</v>
      </c>
      <c r="AM159" s="1" t="s">
        <v>1137</v>
      </c>
      <c r="AO159" s="1" t="s">
        <v>1138</v>
      </c>
      <c r="AQ159" t="s">
        <v>1139</v>
      </c>
      <c r="AU159" t="s">
        <v>172</v>
      </c>
      <c r="AV159" t="s">
        <v>71</v>
      </c>
    </row>
    <row r="160" spans="1:48" x14ac:dyDescent="0.3">
      <c r="A160" t="s">
        <v>1140</v>
      </c>
      <c r="C160" t="s">
        <v>386</v>
      </c>
      <c r="E160" t="s">
        <v>471</v>
      </c>
      <c r="G160" t="s">
        <v>1141</v>
      </c>
      <c r="J160" t="s">
        <v>443</v>
      </c>
      <c r="L160" t="s">
        <v>1142</v>
      </c>
      <c r="R160" s="2">
        <v>9</v>
      </c>
      <c r="S160" s="2">
        <v>10.5</v>
      </c>
      <c r="U160" t="s">
        <v>429</v>
      </c>
      <c r="Y160" t="s">
        <v>430</v>
      </c>
      <c r="AA160" t="s">
        <v>714</v>
      </c>
      <c r="AG160" t="s">
        <v>79</v>
      </c>
      <c r="AM160" t="s">
        <v>714</v>
      </c>
      <c r="AO160" t="s">
        <v>462</v>
      </c>
      <c r="AQ160" t="s">
        <v>1143</v>
      </c>
      <c r="AU160" t="s">
        <v>172</v>
      </c>
      <c r="AV160" t="s">
        <v>60</v>
      </c>
    </row>
    <row r="161" spans="1:48" x14ac:dyDescent="0.3">
      <c r="A161" t="s">
        <v>1144</v>
      </c>
      <c r="C161" t="s">
        <v>50</v>
      </c>
      <c r="E161" t="s">
        <v>84</v>
      </c>
      <c r="G161" t="s">
        <v>1145</v>
      </c>
      <c r="J161" t="s">
        <v>712</v>
      </c>
      <c r="L161" t="s">
        <v>1146</v>
      </c>
      <c r="R161" s="2">
        <v>7.6</v>
      </c>
      <c r="S161" s="2">
        <v>10.6</v>
      </c>
      <c r="U161" t="s">
        <v>1147</v>
      </c>
      <c r="Y161" t="s">
        <v>1148</v>
      </c>
      <c r="AA161" t="s">
        <v>1149</v>
      </c>
      <c r="AG161" t="s">
        <v>79</v>
      </c>
      <c r="AM161" t="s">
        <v>440</v>
      </c>
      <c r="AO161" t="s">
        <v>810</v>
      </c>
      <c r="AQ161" t="s">
        <v>1150</v>
      </c>
      <c r="AU161" t="s">
        <v>172</v>
      </c>
      <c r="AV161" t="s">
        <v>158</v>
      </c>
    </row>
    <row r="162" spans="1:48" x14ac:dyDescent="0.3">
      <c r="A162" t="s">
        <v>1151</v>
      </c>
      <c r="C162" s="3" t="s">
        <v>123</v>
      </c>
      <c r="E162" s="3" t="s">
        <v>714</v>
      </c>
      <c r="G162" t="s">
        <v>1152</v>
      </c>
      <c r="J162" t="s">
        <v>1153</v>
      </c>
      <c r="L162" s="1" t="s">
        <v>1154</v>
      </c>
      <c r="M162" s="6"/>
      <c r="N162" s="6"/>
      <c r="R162" s="2">
        <v>6.6</v>
      </c>
      <c r="S162" s="2">
        <v>9.6999999999999993</v>
      </c>
      <c r="U162" s="1" t="s">
        <v>432</v>
      </c>
      <c r="Y162" s="1" t="s">
        <v>729</v>
      </c>
      <c r="AA162" t="s">
        <v>1155</v>
      </c>
      <c r="AG162" t="s">
        <v>70</v>
      </c>
      <c r="AM162" s="1" t="s">
        <v>1156</v>
      </c>
      <c r="AO162" s="1" t="s">
        <v>1157</v>
      </c>
      <c r="AQ162" t="s">
        <v>1158</v>
      </c>
      <c r="AU162" t="s">
        <v>63</v>
      </c>
      <c r="AV162" t="s">
        <v>158</v>
      </c>
    </row>
    <row r="163" spans="1:48" x14ac:dyDescent="0.3">
      <c r="A163" t="s">
        <v>1159</v>
      </c>
      <c r="C163" t="s">
        <v>707</v>
      </c>
      <c r="E163" t="s">
        <v>147</v>
      </c>
      <c r="G163" t="s">
        <v>1160</v>
      </c>
      <c r="J163" t="s">
        <v>1161</v>
      </c>
      <c r="L163" s="1" t="s">
        <v>1015</v>
      </c>
      <c r="M163" s="6"/>
      <c r="N163" s="6"/>
      <c r="R163" s="2">
        <v>6.8</v>
      </c>
      <c r="S163" s="2">
        <v>8.4</v>
      </c>
      <c r="U163" s="1" t="s">
        <v>799</v>
      </c>
      <c r="Y163" s="1" t="s">
        <v>1162</v>
      </c>
      <c r="AA163" t="s">
        <v>1163</v>
      </c>
      <c r="AG163" t="s">
        <v>79</v>
      </c>
      <c r="AM163" s="1" t="s">
        <v>318</v>
      </c>
      <c r="AO163" s="1" t="s">
        <v>1164</v>
      </c>
      <c r="AQ163" t="s">
        <v>1165</v>
      </c>
      <c r="AU163" t="s">
        <v>70</v>
      </c>
      <c r="AV163" t="s">
        <v>249</v>
      </c>
    </row>
    <row r="164" spans="1:48" x14ac:dyDescent="0.3">
      <c r="A164" t="s">
        <v>1166</v>
      </c>
      <c r="C164" s="3" t="s">
        <v>206</v>
      </c>
      <c r="E164" s="3" t="s">
        <v>1037</v>
      </c>
      <c r="G164" t="s">
        <v>1167</v>
      </c>
      <c r="J164" t="s">
        <v>1014</v>
      </c>
      <c r="L164" s="1" t="s">
        <v>1015</v>
      </c>
      <c r="M164" s="6"/>
      <c r="N164" s="6"/>
      <c r="R164" s="2">
        <v>8</v>
      </c>
      <c r="S164" s="2">
        <v>9.4</v>
      </c>
      <c r="U164" s="1" t="s">
        <v>121</v>
      </c>
      <c r="Y164" s="1" t="s">
        <v>163</v>
      </c>
      <c r="AA164" t="s">
        <v>1168</v>
      </c>
      <c r="AG164" t="s">
        <v>79</v>
      </c>
      <c r="AM164" s="1" t="s">
        <v>1169</v>
      </c>
      <c r="AO164" s="1" t="s">
        <v>1170</v>
      </c>
      <c r="AQ164" t="s">
        <v>1171</v>
      </c>
      <c r="AU164" t="s">
        <v>228</v>
      </c>
      <c r="AV164" t="s">
        <v>158</v>
      </c>
    </row>
    <row r="165" spans="1:48" x14ac:dyDescent="0.3">
      <c r="A165" t="s">
        <v>1172</v>
      </c>
      <c r="C165" t="s">
        <v>107</v>
      </c>
      <c r="E165" t="s">
        <v>263</v>
      </c>
      <c r="G165" t="s">
        <v>1173</v>
      </c>
      <c r="R165" s="2">
        <v>6.2</v>
      </c>
      <c r="S165" s="2">
        <v>8.9</v>
      </c>
      <c r="U165" s="1" t="s">
        <v>521</v>
      </c>
      <c r="Y165" s="1" t="s">
        <v>1174</v>
      </c>
      <c r="AA165" t="s">
        <v>1175</v>
      </c>
      <c r="AG165" t="s">
        <v>1176</v>
      </c>
      <c r="AM165" s="1" t="s">
        <v>1177</v>
      </c>
      <c r="AO165" s="1" t="s">
        <v>1178</v>
      </c>
      <c r="AQ165" t="s">
        <v>1179</v>
      </c>
      <c r="AU165" t="s">
        <v>1051</v>
      </c>
      <c r="AV165" t="s">
        <v>1180</v>
      </c>
    </row>
    <row r="166" spans="1:48" x14ac:dyDescent="0.3">
      <c r="A166" t="s">
        <v>1181</v>
      </c>
      <c r="C166" s="1" t="s">
        <v>832</v>
      </c>
      <c r="E166" s="1" t="s">
        <v>800</v>
      </c>
      <c r="G166" t="s">
        <v>1182</v>
      </c>
      <c r="R166" s="2">
        <v>8.1</v>
      </c>
      <c r="S166" s="2">
        <v>8.5</v>
      </c>
      <c r="V166" s="1" t="s">
        <v>294</v>
      </c>
      <c r="X166" t="s">
        <v>294</v>
      </c>
      <c r="AC166" s="1" t="s">
        <v>1183</v>
      </c>
      <c r="AE166" s="4" t="s">
        <v>1184</v>
      </c>
      <c r="AF166" s="4" t="s">
        <v>1185</v>
      </c>
      <c r="AG166" s="4"/>
      <c r="AM166" s="1" t="s">
        <v>1186</v>
      </c>
      <c r="AO166" s="1" t="s">
        <v>1187</v>
      </c>
      <c r="AQ166" s="4" t="s">
        <v>1188</v>
      </c>
      <c r="AU166" s="4" t="s">
        <v>1088</v>
      </c>
      <c r="AV166" s="4" t="s">
        <v>1189</v>
      </c>
    </row>
    <row r="167" spans="1:48" s="4" customFormat="1" x14ac:dyDescent="0.3">
      <c r="A167" s="4" t="s">
        <v>1203</v>
      </c>
      <c r="C167" s="1" t="s">
        <v>1474</v>
      </c>
      <c r="E167" s="1" t="s">
        <v>2309</v>
      </c>
      <c r="G167" s="6" t="s">
        <v>2310</v>
      </c>
      <c r="R167" s="4" t="s">
        <v>471</v>
      </c>
      <c r="S167" s="4" t="s">
        <v>121</v>
      </c>
      <c r="V167" s="1" t="s">
        <v>2329</v>
      </c>
      <c r="AC167" s="1" t="s">
        <v>2336</v>
      </c>
      <c r="AE167" s="4" t="s">
        <v>2337</v>
      </c>
      <c r="AF167" s="4" t="s">
        <v>521</v>
      </c>
      <c r="AM167" s="1" t="s">
        <v>2346</v>
      </c>
      <c r="AO167" s="1" t="s">
        <v>2347</v>
      </c>
      <c r="AQ167" s="4" t="s">
        <v>2348</v>
      </c>
      <c r="AU167" s="4" t="s">
        <v>172</v>
      </c>
      <c r="AV167" s="4" t="s">
        <v>134</v>
      </c>
    </row>
    <row r="168" spans="1:48" s="4" customFormat="1" x14ac:dyDescent="0.3">
      <c r="A168" s="4" t="s">
        <v>2298</v>
      </c>
      <c r="C168" s="1" t="s">
        <v>235</v>
      </c>
      <c r="E168" s="1" t="s">
        <v>800</v>
      </c>
      <c r="G168" s="6" t="s">
        <v>2311</v>
      </c>
      <c r="R168" s="4" t="s">
        <v>110</v>
      </c>
      <c r="S168" s="4" t="s">
        <v>134</v>
      </c>
      <c r="V168" s="1" t="s">
        <v>281</v>
      </c>
      <c r="AC168" s="1" t="s">
        <v>2338</v>
      </c>
      <c r="AE168" s="4" t="s">
        <v>2339</v>
      </c>
      <c r="AF168" s="4" t="s">
        <v>724</v>
      </c>
      <c r="AM168" s="1" t="s">
        <v>2349</v>
      </c>
      <c r="AO168" s="1" t="s">
        <v>2350</v>
      </c>
      <c r="AQ168" s="4" t="s">
        <v>2351</v>
      </c>
      <c r="AU168" s="4" t="s">
        <v>147</v>
      </c>
      <c r="AV168" s="4" t="s">
        <v>134</v>
      </c>
    </row>
    <row r="169" spans="1:48" s="4" customFormat="1" x14ac:dyDescent="0.3">
      <c r="A169" s="4" t="s">
        <v>2299</v>
      </c>
      <c r="C169" s="6" t="s">
        <v>107</v>
      </c>
      <c r="E169" s="6" t="s">
        <v>439</v>
      </c>
      <c r="G169" s="6" t="s">
        <v>2312</v>
      </c>
      <c r="R169" s="4" t="s">
        <v>541</v>
      </c>
      <c r="S169" s="4" t="s">
        <v>59</v>
      </c>
      <c r="V169" s="1" t="s">
        <v>833</v>
      </c>
      <c r="AC169" s="1" t="s">
        <v>879</v>
      </c>
      <c r="AE169" s="4" t="s">
        <v>2340</v>
      </c>
      <c r="AF169" s="4" t="s">
        <v>263</v>
      </c>
      <c r="AM169" s="1" t="s">
        <v>2352</v>
      </c>
      <c r="AO169" s="1" t="s">
        <v>2353</v>
      </c>
      <c r="AQ169" s="4" t="s">
        <v>2354</v>
      </c>
      <c r="AU169" s="4" t="s">
        <v>71</v>
      </c>
      <c r="AV169" s="4" t="s">
        <v>158</v>
      </c>
    </row>
    <row r="170" spans="1:48" s="4" customFormat="1" x14ac:dyDescent="0.3">
      <c r="A170" s="4" t="s">
        <v>2300</v>
      </c>
      <c r="C170" s="3" t="s">
        <v>123</v>
      </c>
      <c r="E170" s="6" t="s">
        <v>777</v>
      </c>
      <c r="G170" s="6" t="s">
        <v>2313</v>
      </c>
      <c r="R170" s="4" t="s">
        <v>62</v>
      </c>
      <c r="S170" s="4" t="s">
        <v>274</v>
      </c>
      <c r="V170" s="1" t="s">
        <v>391</v>
      </c>
      <c r="AC170" s="1" t="s">
        <v>729</v>
      </c>
      <c r="AE170" s="4" t="s">
        <v>2341</v>
      </c>
      <c r="AF170" s="4" t="s">
        <v>2343</v>
      </c>
      <c r="AM170" s="1" t="s">
        <v>2355</v>
      </c>
      <c r="AO170" s="1" t="s">
        <v>2356</v>
      </c>
      <c r="AQ170" s="4" t="s">
        <v>2357</v>
      </c>
      <c r="AU170" s="4" t="s">
        <v>300</v>
      </c>
      <c r="AV170" s="4" t="s">
        <v>2375</v>
      </c>
    </row>
    <row r="171" spans="1:48" s="4" customFormat="1" x14ac:dyDescent="0.3">
      <c r="A171" s="4" t="s">
        <v>2301</v>
      </c>
      <c r="C171" s="6" t="s">
        <v>55</v>
      </c>
      <c r="E171" s="6" t="s">
        <v>147</v>
      </c>
      <c r="G171" s="6" t="s">
        <v>2314</v>
      </c>
      <c r="R171" s="4" t="s">
        <v>73</v>
      </c>
      <c r="S171" s="4" t="s">
        <v>707</v>
      </c>
      <c r="U171" s="4" t="s">
        <v>371</v>
      </c>
      <c r="Y171" s="4" t="s">
        <v>1103</v>
      </c>
      <c r="AA171" s="4" t="s">
        <v>2331</v>
      </c>
      <c r="AG171" s="4" t="s">
        <v>172</v>
      </c>
      <c r="AH171" s="4" t="s">
        <v>52</v>
      </c>
      <c r="AI171" s="4" t="s">
        <v>52</v>
      </c>
      <c r="AJ171" s="4" t="s">
        <v>52</v>
      </c>
      <c r="AM171" s="1" t="s">
        <v>2358</v>
      </c>
      <c r="AO171" s="1" t="s">
        <v>2359</v>
      </c>
      <c r="AQ171" s="4" t="s">
        <v>2360</v>
      </c>
      <c r="AU171" s="4" t="s">
        <v>2376</v>
      </c>
      <c r="AV171" s="4" t="s">
        <v>2377</v>
      </c>
    </row>
    <row r="172" spans="1:48" s="4" customFormat="1" x14ac:dyDescent="0.3">
      <c r="A172" s="4" t="s">
        <v>2302</v>
      </c>
      <c r="C172" s="6" t="s">
        <v>62</v>
      </c>
      <c r="E172" s="6" t="s">
        <v>521</v>
      </c>
      <c r="G172" s="6" t="s">
        <v>2315</v>
      </c>
      <c r="M172" s="4" t="s">
        <v>1020</v>
      </c>
      <c r="N172" s="1" t="s">
        <v>1015</v>
      </c>
      <c r="R172" s="4" t="s">
        <v>194</v>
      </c>
      <c r="S172" s="4" t="s">
        <v>724</v>
      </c>
      <c r="U172" s="1" t="s">
        <v>698</v>
      </c>
      <c r="Y172" s="1" t="s">
        <v>541</v>
      </c>
      <c r="AA172" s="4" t="s">
        <v>2332</v>
      </c>
      <c r="AG172" s="4" t="s">
        <v>59</v>
      </c>
      <c r="AH172" s="4" t="s">
        <v>52</v>
      </c>
      <c r="AI172" s="4" t="s">
        <v>52</v>
      </c>
      <c r="AJ172" s="4" t="s">
        <v>52</v>
      </c>
      <c r="AM172" s="1" t="s">
        <v>2361</v>
      </c>
      <c r="AO172" s="4" t="s">
        <v>2238</v>
      </c>
      <c r="AQ172" s="4" t="s">
        <v>2362</v>
      </c>
      <c r="AU172" s="4" t="s">
        <v>107</v>
      </c>
      <c r="AV172" s="4" t="s">
        <v>134</v>
      </c>
    </row>
    <row r="173" spans="1:48" s="4" customFormat="1" x14ac:dyDescent="0.3">
      <c r="A173" s="4" t="s">
        <v>2303</v>
      </c>
      <c r="C173" s="6" t="s">
        <v>177</v>
      </c>
      <c r="E173" s="6" t="s">
        <v>63</v>
      </c>
      <c r="G173" s="6" t="s">
        <v>2316</v>
      </c>
      <c r="M173" s="1" t="s">
        <v>1215</v>
      </c>
      <c r="N173" s="1" t="s">
        <v>2324</v>
      </c>
      <c r="R173" s="4" t="s">
        <v>201</v>
      </c>
      <c r="S173" s="4" t="s">
        <v>63</v>
      </c>
      <c r="U173" s="4" t="s">
        <v>1627</v>
      </c>
      <c r="Y173" s="1" t="s">
        <v>49</v>
      </c>
      <c r="AA173" s="4" t="s">
        <v>1367</v>
      </c>
      <c r="AG173" s="4" t="s">
        <v>274</v>
      </c>
      <c r="AH173" s="4" t="s">
        <v>52</v>
      </c>
      <c r="AI173" s="4" t="s">
        <v>52</v>
      </c>
      <c r="AJ173" s="4" t="s">
        <v>52</v>
      </c>
      <c r="AM173" s="1" t="s">
        <v>1378</v>
      </c>
      <c r="AO173" s="1" t="s">
        <v>2363</v>
      </c>
      <c r="AQ173" s="4" t="s">
        <v>2364</v>
      </c>
      <c r="AU173" s="4" t="s">
        <v>63</v>
      </c>
      <c r="AV173" s="4" t="s">
        <v>158</v>
      </c>
    </row>
    <row r="174" spans="1:48" s="4" customFormat="1" x14ac:dyDescent="0.3">
      <c r="A174" s="4" t="s">
        <v>2304</v>
      </c>
      <c r="C174" s="6" t="s">
        <v>79</v>
      </c>
      <c r="E174" s="6" t="s">
        <v>63</v>
      </c>
      <c r="G174" s="6" t="s">
        <v>2317</v>
      </c>
      <c r="M174" s="1" t="s">
        <v>2325</v>
      </c>
      <c r="N174" s="1" t="s">
        <v>1015</v>
      </c>
      <c r="R174" s="4" t="s">
        <v>96</v>
      </c>
      <c r="S174" s="4" t="s">
        <v>60</v>
      </c>
      <c r="U174" s="1" t="s">
        <v>511</v>
      </c>
      <c r="Y174" s="1" t="s">
        <v>793</v>
      </c>
      <c r="AA174" s="4" t="s">
        <v>2333</v>
      </c>
      <c r="AG174" s="4" t="s">
        <v>2344</v>
      </c>
      <c r="AH174" s="4" t="s">
        <v>52</v>
      </c>
      <c r="AI174" s="4" t="s">
        <v>52</v>
      </c>
      <c r="AJ174" s="4" t="s">
        <v>52</v>
      </c>
      <c r="AM174" s="1" t="s">
        <v>2365</v>
      </c>
      <c r="AO174" s="1" t="s">
        <v>2366</v>
      </c>
      <c r="AQ174" s="4" t="s">
        <v>2367</v>
      </c>
      <c r="AU174" s="4" t="s">
        <v>750</v>
      </c>
      <c r="AV174" s="4" t="s">
        <v>1100</v>
      </c>
    </row>
    <row r="175" spans="1:48" s="4" customFormat="1" x14ac:dyDescent="0.3">
      <c r="A175" s="4" t="s">
        <v>2305</v>
      </c>
      <c r="C175" s="6" t="s">
        <v>136</v>
      </c>
      <c r="E175" s="6" t="s">
        <v>172</v>
      </c>
      <c r="G175" s="6" t="s">
        <v>2315</v>
      </c>
      <c r="M175" s="1" t="s">
        <v>2326</v>
      </c>
      <c r="N175" s="1" t="s">
        <v>2327</v>
      </c>
      <c r="R175" s="4" t="s">
        <v>110</v>
      </c>
      <c r="S175" s="4" t="s">
        <v>136</v>
      </c>
      <c r="U175" s="1" t="s">
        <v>1148</v>
      </c>
      <c r="Y175" s="4" t="s">
        <v>554</v>
      </c>
      <c r="AA175" s="4" t="s">
        <v>2334</v>
      </c>
      <c r="AG175" s="4" t="s">
        <v>228</v>
      </c>
      <c r="AH175" s="4" t="s">
        <v>52</v>
      </c>
      <c r="AI175" s="4" t="s">
        <v>52</v>
      </c>
      <c r="AJ175" s="4" t="s">
        <v>52</v>
      </c>
      <c r="AM175" s="1" t="s">
        <v>1606</v>
      </c>
      <c r="AO175" s="1" t="s">
        <v>2368</v>
      </c>
      <c r="AQ175" s="4" t="s">
        <v>2369</v>
      </c>
      <c r="AU175" s="4" t="s">
        <v>147</v>
      </c>
      <c r="AV175" s="4" t="s">
        <v>274</v>
      </c>
    </row>
    <row r="176" spans="1:48" s="4" customFormat="1" x14ac:dyDescent="0.3">
      <c r="A176" s="4" t="s">
        <v>2306</v>
      </c>
      <c r="C176" s="6" t="s">
        <v>90</v>
      </c>
      <c r="E176" s="6" t="s">
        <v>228</v>
      </c>
      <c r="G176" s="6" t="s">
        <v>2318</v>
      </c>
      <c r="M176" s="1" t="s">
        <v>2328</v>
      </c>
      <c r="N176" s="1" t="s">
        <v>1154</v>
      </c>
      <c r="R176" s="4" t="s">
        <v>147</v>
      </c>
      <c r="S176" s="4" t="s">
        <v>392</v>
      </c>
      <c r="U176" s="1" t="s">
        <v>386</v>
      </c>
      <c r="Y176" s="1" t="s">
        <v>707</v>
      </c>
      <c r="AA176" s="4" t="s">
        <v>1102</v>
      </c>
      <c r="AG176" s="4" t="s">
        <v>63</v>
      </c>
      <c r="AH176" s="4" t="s">
        <v>52</v>
      </c>
      <c r="AI176" s="4" t="s">
        <v>52</v>
      </c>
      <c r="AJ176" s="4" t="s">
        <v>52</v>
      </c>
      <c r="AM176" s="1" t="s">
        <v>1183</v>
      </c>
      <c r="AO176" s="1" t="s">
        <v>1496</v>
      </c>
      <c r="AQ176" s="4" t="s">
        <v>2370</v>
      </c>
      <c r="AU176" s="4" t="s">
        <v>70</v>
      </c>
      <c r="AV176" s="4" t="s">
        <v>158</v>
      </c>
    </row>
    <row r="177" spans="1:48" s="4" customFormat="1" x14ac:dyDescent="0.3">
      <c r="A177" s="4" t="s">
        <v>2307</v>
      </c>
      <c r="C177" s="6" t="s">
        <v>107</v>
      </c>
      <c r="E177" s="6" t="s">
        <v>108</v>
      </c>
      <c r="G177" s="6" t="s">
        <v>2319</v>
      </c>
      <c r="R177" s="4" t="s">
        <v>94</v>
      </c>
      <c r="S177" s="4" t="s">
        <v>446</v>
      </c>
      <c r="U177" s="1" t="s">
        <v>553</v>
      </c>
      <c r="Y177" s="1" t="s">
        <v>50</v>
      </c>
      <c r="AA177" s="4" t="s">
        <v>2335</v>
      </c>
      <c r="AG177" s="4" t="s">
        <v>108</v>
      </c>
      <c r="AH177" s="4" t="s">
        <v>52</v>
      </c>
      <c r="AI177" s="4" t="s">
        <v>52</v>
      </c>
      <c r="AJ177" s="4" t="s">
        <v>52</v>
      </c>
      <c r="AM177" s="1" t="s">
        <v>425</v>
      </c>
      <c r="AO177" s="4" t="s">
        <v>1495</v>
      </c>
      <c r="AQ177" s="4" t="s">
        <v>2371</v>
      </c>
      <c r="AU177" s="4" t="s">
        <v>63</v>
      </c>
      <c r="AV177" s="4" t="s">
        <v>60</v>
      </c>
    </row>
    <row r="178" spans="1:48" s="4" customFormat="1" x14ac:dyDescent="0.3">
      <c r="A178" s="4" t="s">
        <v>2308</v>
      </c>
      <c r="C178" s="6" t="s">
        <v>74</v>
      </c>
      <c r="E178" s="6" t="s">
        <v>63</v>
      </c>
      <c r="G178" s="6" t="s">
        <v>2320</v>
      </c>
      <c r="R178" s="4" t="s">
        <v>108</v>
      </c>
      <c r="S178" s="4" t="s">
        <v>321</v>
      </c>
      <c r="V178" s="4" t="s">
        <v>2330</v>
      </c>
      <c r="AC178" s="4" t="s">
        <v>2342</v>
      </c>
      <c r="AE178" s="4" t="s">
        <v>871</v>
      </c>
      <c r="AF178" s="4" t="s">
        <v>121</v>
      </c>
      <c r="AH178" s="4" t="s">
        <v>52</v>
      </c>
      <c r="AI178" s="4" t="s">
        <v>52</v>
      </c>
      <c r="AJ178" s="4" t="s">
        <v>52</v>
      </c>
      <c r="AM178" s="1" t="s">
        <v>2372</v>
      </c>
      <c r="AO178" s="1" t="s">
        <v>2373</v>
      </c>
      <c r="AQ178" s="4" t="s">
        <v>2374</v>
      </c>
      <c r="AU178" s="4" t="s">
        <v>70</v>
      </c>
      <c r="AV178" s="4" t="s">
        <v>133</v>
      </c>
    </row>
    <row r="179" spans="1:48" s="4" customFormat="1" x14ac:dyDescent="0.3">
      <c r="A179" s="4" t="s">
        <v>2262</v>
      </c>
      <c r="C179" s="3" t="s">
        <v>180</v>
      </c>
      <c r="E179" s="6" t="s">
        <v>180</v>
      </c>
      <c r="G179" s="6" t="s">
        <v>2263</v>
      </c>
      <c r="R179" s="4" t="s">
        <v>228</v>
      </c>
      <c r="S179" s="4" t="s">
        <v>71</v>
      </c>
      <c r="V179" s="1" t="s">
        <v>50</v>
      </c>
      <c r="AC179" s="4" t="s">
        <v>50</v>
      </c>
      <c r="AE179" s="4" t="s">
        <v>2264</v>
      </c>
      <c r="AF179" s="4" t="s">
        <v>374</v>
      </c>
      <c r="AH179" s="4" t="s">
        <v>52</v>
      </c>
      <c r="AI179" s="4" t="s">
        <v>52</v>
      </c>
      <c r="AJ179" s="4" t="s">
        <v>52</v>
      </c>
      <c r="AM179" s="1" t="s">
        <v>362</v>
      </c>
      <c r="AO179" s="1" t="s">
        <v>362</v>
      </c>
      <c r="AQ179" s="4" t="s">
        <v>2265</v>
      </c>
      <c r="AU179" s="4" t="s">
        <v>107</v>
      </c>
      <c r="AV179" s="4" t="s">
        <v>107</v>
      </c>
    </row>
    <row r="180" spans="1:48" s="4" customFormat="1" x14ac:dyDescent="0.3">
      <c r="A180" s="4" t="s">
        <v>2266</v>
      </c>
      <c r="C180" s="1" t="s">
        <v>311</v>
      </c>
      <c r="E180" s="1" t="s">
        <v>507</v>
      </c>
      <c r="G180" s="6" t="s">
        <v>2267</v>
      </c>
      <c r="R180" s="4" t="s">
        <v>531</v>
      </c>
      <c r="S180" s="4" t="s">
        <v>107</v>
      </c>
      <c r="V180" s="1" t="s">
        <v>1259</v>
      </c>
      <c r="AC180" s="1" t="s">
        <v>1760</v>
      </c>
      <c r="AE180" s="4" t="s">
        <v>2268</v>
      </c>
      <c r="AF180" s="4" t="s">
        <v>383</v>
      </c>
      <c r="AH180" s="4" t="s">
        <v>52</v>
      </c>
      <c r="AI180" s="4" t="s">
        <v>52</v>
      </c>
      <c r="AJ180" s="4" t="s">
        <v>52</v>
      </c>
      <c r="AM180" s="1" t="s">
        <v>1533</v>
      </c>
      <c r="AO180" s="1" t="s">
        <v>2269</v>
      </c>
      <c r="AQ180" s="4" t="s">
        <v>2270</v>
      </c>
      <c r="AU180" s="4" t="s">
        <v>147</v>
      </c>
      <c r="AV180" s="4" t="s">
        <v>158</v>
      </c>
    </row>
    <row r="181" spans="1:48" s="4" customFormat="1" x14ac:dyDescent="0.3">
      <c r="A181" s="4" t="s">
        <v>2271</v>
      </c>
      <c r="C181" s="1" t="s">
        <v>190</v>
      </c>
      <c r="E181" s="1" t="s">
        <v>1328</v>
      </c>
      <c r="G181" s="6" t="s">
        <v>2272</v>
      </c>
      <c r="R181" s="4" t="s">
        <v>160</v>
      </c>
      <c r="S181" s="4" t="s">
        <v>374</v>
      </c>
      <c r="V181" s="1" t="s">
        <v>1974</v>
      </c>
      <c r="AC181" s="1" t="s">
        <v>105</v>
      </c>
      <c r="AE181" s="4" t="s">
        <v>2273</v>
      </c>
      <c r="AF181" s="4" t="s">
        <v>245</v>
      </c>
      <c r="AH181" s="4" t="s">
        <v>52</v>
      </c>
      <c r="AI181" s="4" t="s">
        <v>52</v>
      </c>
      <c r="AJ181" s="4" t="s">
        <v>52</v>
      </c>
      <c r="AM181" s="1" t="s">
        <v>2274</v>
      </c>
      <c r="AO181" s="1" t="s">
        <v>2275</v>
      </c>
      <c r="AQ181" s="4" t="s">
        <v>2276</v>
      </c>
      <c r="AU181" s="4" t="s">
        <v>172</v>
      </c>
      <c r="AV181" s="4" t="s">
        <v>158</v>
      </c>
    </row>
    <row r="182" spans="1:48" s="4" customFormat="1" x14ac:dyDescent="0.3">
      <c r="A182" s="4" t="s">
        <v>2277</v>
      </c>
      <c r="C182" s="1" t="s">
        <v>1974</v>
      </c>
      <c r="E182" s="1" t="s">
        <v>67</v>
      </c>
      <c r="G182" s="6" t="s">
        <v>2278</v>
      </c>
      <c r="R182" s="4" t="s">
        <v>63</v>
      </c>
      <c r="S182" s="4" t="s">
        <v>478</v>
      </c>
      <c r="V182" s="1" t="s">
        <v>2279</v>
      </c>
      <c r="AC182" s="1" t="s">
        <v>1974</v>
      </c>
      <c r="AE182" s="4" t="s">
        <v>2280</v>
      </c>
      <c r="AF182" s="4" t="s">
        <v>70</v>
      </c>
      <c r="AH182" s="4" t="s">
        <v>52</v>
      </c>
      <c r="AI182" s="4" t="s">
        <v>52</v>
      </c>
      <c r="AJ182" s="4" t="s">
        <v>52</v>
      </c>
      <c r="AM182" s="1" t="s">
        <v>2281</v>
      </c>
      <c r="AO182" s="1" t="s">
        <v>2282</v>
      </c>
      <c r="AQ182" s="4" t="s">
        <v>2283</v>
      </c>
      <c r="AU182" s="4" t="s">
        <v>228</v>
      </c>
      <c r="AV182" s="4" t="s">
        <v>94</v>
      </c>
    </row>
    <row r="183" spans="1:48" s="4" customFormat="1" x14ac:dyDescent="0.3">
      <c r="A183" s="4" t="s">
        <v>2284</v>
      </c>
      <c r="C183" s="1" t="s">
        <v>2285</v>
      </c>
      <c r="E183" s="1" t="s">
        <v>1313</v>
      </c>
      <c r="G183" s="6" t="s">
        <v>2286</v>
      </c>
      <c r="R183" s="4" t="s">
        <v>56</v>
      </c>
      <c r="S183" s="4" t="s">
        <v>236</v>
      </c>
      <c r="U183" s="1" t="s">
        <v>2238</v>
      </c>
      <c r="Y183" s="1" t="s">
        <v>1399</v>
      </c>
      <c r="AA183" s="4" t="s">
        <v>2287</v>
      </c>
      <c r="AG183" s="4" t="s">
        <v>66</v>
      </c>
      <c r="AH183" s="20" t="s">
        <v>539</v>
      </c>
      <c r="AI183" s="20" t="s">
        <v>264</v>
      </c>
      <c r="AJ183" s="20" t="s">
        <v>372</v>
      </c>
      <c r="AM183" s="1" t="s">
        <v>2288</v>
      </c>
      <c r="AO183" s="1" t="s">
        <v>1309</v>
      </c>
      <c r="AQ183" s="4" t="s">
        <v>2289</v>
      </c>
      <c r="AU183" s="4" t="s">
        <v>107</v>
      </c>
      <c r="AV183" s="4" t="s">
        <v>134</v>
      </c>
    </row>
    <row r="184" spans="1:48" s="4" customFormat="1" x14ac:dyDescent="0.3">
      <c r="A184" s="4" t="s">
        <v>2290</v>
      </c>
      <c r="C184" s="1" t="s">
        <v>318</v>
      </c>
      <c r="E184" s="1" t="s">
        <v>934</v>
      </c>
      <c r="G184" s="6" t="s">
        <v>2291</v>
      </c>
      <c r="M184" s="7" t="s">
        <v>2292</v>
      </c>
      <c r="N184" s="7" t="s">
        <v>2293</v>
      </c>
      <c r="R184" s="4" t="s">
        <v>180</v>
      </c>
      <c r="S184" s="4" t="s">
        <v>1259</v>
      </c>
      <c r="U184" s="1" t="s">
        <v>1974</v>
      </c>
      <c r="Y184" s="1" t="s">
        <v>1915</v>
      </c>
      <c r="AA184" s="4" t="s">
        <v>2294</v>
      </c>
      <c r="AG184" s="4" t="s">
        <v>134</v>
      </c>
      <c r="AH184" s="20" t="s">
        <v>52</v>
      </c>
      <c r="AI184" s="20" t="s">
        <v>52</v>
      </c>
      <c r="AJ184" s="20" t="s">
        <v>52</v>
      </c>
      <c r="AM184" s="1" t="s">
        <v>2295</v>
      </c>
      <c r="AO184" s="1" t="s">
        <v>2296</v>
      </c>
      <c r="AQ184" s="4" t="s">
        <v>2297</v>
      </c>
      <c r="AU184" s="4" t="s">
        <v>147</v>
      </c>
      <c r="AV184" s="4" t="s">
        <v>134</v>
      </c>
    </row>
    <row r="185" spans="1:48" s="4" customFormat="1" x14ac:dyDescent="0.3">
      <c r="A185" s="20" t="s">
        <v>2383</v>
      </c>
      <c r="C185" s="20" t="s">
        <v>2500</v>
      </c>
      <c r="E185" s="20" t="s">
        <v>531</v>
      </c>
      <c r="G185" s="20" t="s">
        <v>2501</v>
      </c>
      <c r="M185" s="7" t="s">
        <v>2444</v>
      </c>
      <c r="N185" s="7" t="s">
        <v>2445</v>
      </c>
      <c r="R185" s="20" t="s">
        <v>317</v>
      </c>
      <c r="S185" s="20" t="s">
        <v>1033</v>
      </c>
      <c r="U185" s="1" t="s">
        <v>49</v>
      </c>
      <c r="V185" s="20"/>
      <c r="Y185" s="1" t="s">
        <v>123</v>
      </c>
      <c r="AA185" s="20" t="s">
        <v>2532</v>
      </c>
      <c r="AC185" s="20"/>
      <c r="AE185" s="20"/>
      <c r="AG185" s="21" t="s">
        <v>70</v>
      </c>
      <c r="AH185" s="20" t="s">
        <v>52</v>
      </c>
      <c r="AI185" s="20" t="s">
        <v>52</v>
      </c>
      <c r="AJ185" s="20" t="s">
        <v>52</v>
      </c>
      <c r="AM185" s="20" t="s">
        <v>392</v>
      </c>
      <c r="AO185" s="20" t="s">
        <v>264</v>
      </c>
      <c r="AQ185" s="20" t="s">
        <v>2547</v>
      </c>
      <c r="AU185" s="20" t="s">
        <v>228</v>
      </c>
      <c r="AV185" s="20" t="s">
        <v>94</v>
      </c>
    </row>
    <row r="186" spans="1:48" s="20" customFormat="1" x14ac:dyDescent="0.3">
      <c r="A186" s="20" t="s">
        <v>2446</v>
      </c>
      <c r="C186" s="20" t="s">
        <v>305</v>
      </c>
      <c r="E186" s="20" t="s">
        <v>74</v>
      </c>
      <c r="G186" s="20" t="s">
        <v>2502</v>
      </c>
      <c r="M186" s="7" t="s">
        <v>2447</v>
      </c>
      <c r="N186" s="7" t="s">
        <v>2448</v>
      </c>
      <c r="R186" s="20" t="s">
        <v>433</v>
      </c>
      <c r="S186" s="20" t="s">
        <v>810</v>
      </c>
      <c r="U186" s="20" t="s">
        <v>488</v>
      </c>
      <c r="Y186" s="20" t="s">
        <v>459</v>
      </c>
      <c r="AA186" s="20" t="s">
        <v>1119</v>
      </c>
      <c r="AG186" s="21" t="s">
        <v>134</v>
      </c>
      <c r="AH186" s="20" t="s">
        <v>52</v>
      </c>
      <c r="AI186" s="20" t="s">
        <v>52</v>
      </c>
      <c r="AJ186" s="20" t="s">
        <v>52</v>
      </c>
      <c r="AM186" s="20" t="s">
        <v>252</v>
      </c>
      <c r="AO186" s="20" t="s">
        <v>1424</v>
      </c>
      <c r="AQ186" s="20" t="s">
        <v>2548</v>
      </c>
      <c r="AU186" s="20" t="s">
        <v>228</v>
      </c>
      <c r="AV186" s="20" t="s">
        <v>94</v>
      </c>
    </row>
    <row r="187" spans="1:48" s="20" customFormat="1" x14ac:dyDescent="0.3">
      <c r="A187" s="20" t="s">
        <v>2449</v>
      </c>
      <c r="C187" s="20" t="s">
        <v>121</v>
      </c>
      <c r="E187" s="20" t="s">
        <v>453</v>
      </c>
      <c r="G187" s="20" t="s">
        <v>2503</v>
      </c>
      <c r="M187" s="6" t="s">
        <v>795</v>
      </c>
      <c r="N187" s="7" t="s">
        <v>2450</v>
      </c>
      <c r="R187" s="20" t="s">
        <v>955</v>
      </c>
      <c r="S187" s="20" t="s">
        <v>873</v>
      </c>
      <c r="U187" s="20" t="s">
        <v>371</v>
      </c>
      <c r="Y187" s="20" t="s">
        <v>553</v>
      </c>
      <c r="AA187" s="20" t="s">
        <v>2533</v>
      </c>
      <c r="AG187" s="1" t="s">
        <v>284</v>
      </c>
      <c r="AH187" s="20" t="s">
        <v>52</v>
      </c>
      <c r="AI187" s="20" t="s">
        <v>52</v>
      </c>
      <c r="AJ187" s="20" t="s">
        <v>52</v>
      </c>
      <c r="AM187" s="20" t="s">
        <v>321</v>
      </c>
      <c r="AO187" s="20" t="s">
        <v>311</v>
      </c>
      <c r="AQ187" s="20" t="s">
        <v>2549</v>
      </c>
      <c r="AU187" s="20" t="s">
        <v>172</v>
      </c>
      <c r="AV187" s="20" t="s">
        <v>134</v>
      </c>
    </row>
    <row r="188" spans="1:48" s="20" customFormat="1" x14ac:dyDescent="0.3">
      <c r="A188" s="20" t="s">
        <v>2451</v>
      </c>
      <c r="C188" s="20" t="s">
        <v>136</v>
      </c>
      <c r="E188" s="20" t="s">
        <v>289</v>
      </c>
      <c r="G188" s="20" t="s">
        <v>2504</v>
      </c>
      <c r="M188" s="20" t="s">
        <v>112</v>
      </c>
      <c r="N188" s="20" t="s">
        <v>2505</v>
      </c>
      <c r="R188" s="20" t="s">
        <v>778</v>
      </c>
      <c r="S188" s="20" t="s">
        <v>486</v>
      </c>
      <c r="U188" s="20" t="s">
        <v>1996</v>
      </c>
      <c r="Y188" s="20" t="s">
        <v>1627</v>
      </c>
      <c r="AA188" s="20" t="s">
        <v>2534</v>
      </c>
      <c r="AG188" s="1" t="s">
        <v>521</v>
      </c>
      <c r="AH188" s="20" t="s">
        <v>52</v>
      </c>
      <c r="AI188" s="20" t="s">
        <v>52</v>
      </c>
      <c r="AJ188" s="20" t="s">
        <v>52</v>
      </c>
      <c r="AM188" s="20" t="s">
        <v>224</v>
      </c>
      <c r="AO188" s="20" t="s">
        <v>799</v>
      </c>
      <c r="AQ188" s="20" t="s">
        <v>2550</v>
      </c>
      <c r="AU188" s="20" t="s">
        <v>228</v>
      </c>
      <c r="AV188" s="20" t="s">
        <v>121</v>
      </c>
    </row>
    <row r="189" spans="1:48" s="20" customFormat="1" x14ac:dyDescent="0.3">
      <c r="A189" s="20" t="s">
        <v>2452</v>
      </c>
      <c r="C189" s="20" t="s">
        <v>386</v>
      </c>
      <c r="E189" s="20" t="s">
        <v>297</v>
      </c>
      <c r="G189" s="20" t="s">
        <v>2506</v>
      </c>
      <c r="R189" s="20" t="s">
        <v>2279</v>
      </c>
      <c r="S189" s="20" t="s">
        <v>235</v>
      </c>
      <c r="U189" s="20" t="s">
        <v>438</v>
      </c>
      <c r="Y189" s="20" t="s">
        <v>438</v>
      </c>
      <c r="AA189" s="20" t="s">
        <v>521</v>
      </c>
      <c r="AF189" s="21"/>
      <c r="AG189" s="21" t="s">
        <v>121</v>
      </c>
      <c r="AH189" s="20" t="s">
        <v>52</v>
      </c>
      <c r="AI189" s="20" t="s">
        <v>52</v>
      </c>
      <c r="AJ189" s="20" t="s">
        <v>52</v>
      </c>
      <c r="AM189" s="20" t="s">
        <v>180</v>
      </c>
      <c r="AO189" s="20" t="s">
        <v>155</v>
      </c>
      <c r="AQ189" s="20" t="s">
        <v>2551</v>
      </c>
      <c r="AU189" s="20" t="s">
        <v>133</v>
      </c>
      <c r="AV189" s="20" t="s">
        <v>274</v>
      </c>
    </row>
    <row r="190" spans="1:48" s="20" customFormat="1" x14ac:dyDescent="0.3">
      <c r="A190" s="20" t="s">
        <v>2453</v>
      </c>
      <c r="C190" s="20" t="s">
        <v>73</v>
      </c>
      <c r="E190" s="20" t="s">
        <v>531</v>
      </c>
      <c r="G190" s="20" t="s">
        <v>2507</v>
      </c>
      <c r="R190" s="20" t="s">
        <v>2530</v>
      </c>
      <c r="S190" s="20" t="s">
        <v>180</v>
      </c>
      <c r="V190" s="20" t="s">
        <v>372</v>
      </c>
      <c r="AC190" s="20" t="s">
        <v>381</v>
      </c>
      <c r="AE190" s="20" t="s">
        <v>198</v>
      </c>
      <c r="AF190" s="21" t="s">
        <v>263</v>
      </c>
      <c r="AG190" s="21"/>
      <c r="AH190" s="20" t="s">
        <v>52</v>
      </c>
      <c r="AI190" s="20" t="s">
        <v>52</v>
      </c>
      <c r="AJ190" s="20" t="s">
        <v>52</v>
      </c>
      <c r="AM190" s="1" t="s">
        <v>871</v>
      </c>
      <c r="AO190" s="1" t="s">
        <v>2491</v>
      </c>
      <c r="AQ190" s="20" t="s">
        <v>2552</v>
      </c>
      <c r="AU190" s="20" t="s">
        <v>107</v>
      </c>
      <c r="AV190" s="20" t="s">
        <v>274</v>
      </c>
    </row>
    <row r="191" spans="1:48" s="20" customFormat="1" x14ac:dyDescent="0.3">
      <c r="A191" s="20" t="s">
        <v>2454</v>
      </c>
      <c r="C191" s="20" t="s">
        <v>460</v>
      </c>
      <c r="E191" s="20" t="s">
        <v>284</v>
      </c>
      <c r="G191" s="20" t="s">
        <v>2508</v>
      </c>
      <c r="R191" s="20" t="s">
        <v>777</v>
      </c>
      <c r="S191" s="20" t="s">
        <v>388</v>
      </c>
      <c r="V191" s="20" t="s">
        <v>1103</v>
      </c>
      <c r="AC191" s="20" t="s">
        <v>386</v>
      </c>
      <c r="AE191" s="20" t="s">
        <v>1103</v>
      </c>
      <c r="AF191" s="21" t="s">
        <v>121</v>
      </c>
      <c r="AG191" s="21"/>
      <c r="AH191" s="20" t="s">
        <v>52</v>
      </c>
      <c r="AI191" s="20" t="s">
        <v>52</v>
      </c>
      <c r="AJ191" s="20" t="s">
        <v>52</v>
      </c>
      <c r="AM191" s="20" t="s">
        <v>1037</v>
      </c>
      <c r="AO191" s="20" t="s">
        <v>1174</v>
      </c>
      <c r="AQ191" s="20" t="s">
        <v>2553</v>
      </c>
      <c r="AU191" s="20" t="s">
        <v>107</v>
      </c>
      <c r="AV191" s="20" t="s">
        <v>134</v>
      </c>
    </row>
    <row r="192" spans="1:48" s="20" customFormat="1" x14ac:dyDescent="0.3">
      <c r="A192" s="20" t="s">
        <v>2455</v>
      </c>
      <c r="C192" s="20" t="s">
        <v>160</v>
      </c>
      <c r="E192" s="20" t="s">
        <v>133</v>
      </c>
      <c r="G192" s="20" t="s">
        <v>2509</v>
      </c>
      <c r="R192" s="20" t="s">
        <v>1071</v>
      </c>
      <c r="S192" s="20" t="s">
        <v>156</v>
      </c>
      <c r="V192" s="1" t="s">
        <v>110</v>
      </c>
      <c r="AC192" s="1" t="s">
        <v>276</v>
      </c>
      <c r="AE192" s="20" t="s">
        <v>2543</v>
      </c>
      <c r="AF192" s="21" t="s">
        <v>301</v>
      </c>
      <c r="AG192" s="21"/>
      <c r="AH192" s="20" t="s">
        <v>549</v>
      </c>
      <c r="AI192" s="20" t="s">
        <v>501</v>
      </c>
      <c r="AJ192" s="20" t="s">
        <v>488</v>
      </c>
      <c r="AM192" s="1" t="s">
        <v>2492</v>
      </c>
      <c r="AO192" s="1" t="s">
        <v>730</v>
      </c>
      <c r="AQ192" s="20" t="s">
        <v>2554</v>
      </c>
      <c r="AU192" s="20" t="s">
        <v>147</v>
      </c>
      <c r="AV192" s="20" t="s">
        <v>249</v>
      </c>
    </row>
    <row r="193" spans="1:48" s="20" customFormat="1" x14ac:dyDescent="0.3">
      <c r="A193" s="20" t="s">
        <v>2456</v>
      </c>
      <c r="C193" s="20" t="s">
        <v>570</v>
      </c>
      <c r="E193" s="20" t="s">
        <v>263</v>
      </c>
      <c r="G193" s="20" t="s">
        <v>2510</v>
      </c>
      <c r="R193" s="20" t="s">
        <v>485</v>
      </c>
      <c r="S193" s="20" t="s">
        <v>451</v>
      </c>
      <c r="V193" s="1" t="s">
        <v>117</v>
      </c>
      <c r="AC193" s="1" t="s">
        <v>832</v>
      </c>
      <c r="AE193" s="20" t="s">
        <v>2544</v>
      </c>
      <c r="AF193" s="21" t="s">
        <v>374</v>
      </c>
      <c r="AG193" s="21"/>
      <c r="AH193" s="20" t="s">
        <v>52</v>
      </c>
      <c r="AI193" s="20" t="s">
        <v>52</v>
      </c>
      <c r="AJ193" s="20" t="s">
        <v>52</v>
      </c>
      <c r="AM193" s="20" t="s">
        <v>374</v>
      </c>
      <c r="AO193" s="20" t="s">
        <v>832</v>
      </c>
      <c r="AQ193" s="20" t="s">
        <v>2555</v>
      </c>
      <c r="AU193" s="20" t="s">
        <v>107</v>
      </c>
      <c r="AV193" s="20" t="s">
        <v>134</v>
      </c>
    </row>
    <row r="194" spans="1:48" s="20" customFormat="1" x14ac:dyDescent="0.3">
      <c r="A194" s="20" t="s">
        <v>2457</v>
      </c>
      <c r="C194" s="20" t="s">
        <v>90</v>
      </c>
      <c r="E194" s="20" t="s">
        <v>289</v>
      </c>
      <c r="G194" s="20" t="s">
        <v>2511</v>
      </c>
      <c r="R194" s="20" t="s">
        <v>2361</v>
      </c>
      <c r="S194" s="20" t="s">
        <v>293</v>
      </c>
      <c r="V194" s="1" t="s">
        <v>478</v>
      </c>
      <c r="AC194" s="1" t="s">
        <v>190</v>
      </c>
      <c r="AE194" s="20" t="s">
        <v>2545</v>
      </c>
      <c r="AF194" s="21" t="s">
        <v>388</v>
      </c>
      <c r="AG194" s="21"/>
      <c r="AH194" s="20" t="s">
        <v>52</v>
      </c>
      <c r="AI194" s="20" t="s">
        <v>52</v>
      </c>
      <c r="AJ194" s="20" t="s">
        <v>52</v>
      </c>
      <c r="AM194" s="20" t="s">
        <v>445</v>
      </c>
      <c r="AO194" s="20" t="s">
        <v>507</v>
      </c>
      <c r="AQ194" s="20" t="s">
        <v>2556</v>
      </c>
      <c r="AU194" s="20" t="s">
        <v>107</v>
      </c>
      <c r="AV194" s="20" t="s">
        <v>158</v>
      </c>
    </row>
    <row r="195" spans="1:48" s="20" customFormat="1" x14ac:dyDescent="0.3">
      <c r="A195" s="20" t="s">
        <v>2458</v>
      </c>
      <c r="C195" s="20" t="s">
        <v>403</v>
      </c>
      <c r="E195" s="20" t="s">
        <v>172</v>
      </c>
      <c r="G195" s="20" t="s">
        <v>2512</v>
      </c>
      <c r="R195" s="20" t="s">
        <v>407</v>
      </c>
      <c r="S195" s="20" t="s">
        <v>486</v>
      </c>
      <c r="U195" s="1" t="s">
        <v>553</v>
      </c>
      <c r="Y195" s="1" t="s">
        <v>74</v>
      </c>
      <c r="AA195" s="20" t="s">
        <v>2535</v>
      </c>
      <c r="AF195" s="21"/>
      <c r="AG195" s="21" t="s">
        <v>374</v>
      </c>
      <c r="AH195" s="20" t="s">
        <v>52</v>
      </c>
      <c r="AI195" s="20" t="s">
        <v>52</v>
      </c>
      <c r="AJ195" s="20" t="s">
        <v>52</v>
      </c>
      <c r="AM195" s="1" t="s">
        <v>2238</v>
      </c>
      <c r="AO195" s="1" t="s">
        <v>2372</v>
      </c>
      <c r="AQ195" s="20" t="s">
        <v>2557</v>
      </c>
      <c r="AU195" s="20" t="s">
        <v>133</v>
      </c>
      <c r="AV195" s="20" t="s">
        <v>274</v>
      </c>
    </row>
    <row r="196" spans="1:48" s="20" customFormat="1" x14ac:dyDescent="0.3">
      <c r="A196" s="20" t="s">
        <v>2459</v>
      </c>
      <c r="C196" s="3" t="s">
        <v>251</v>
      </c>
      <c r="E196" s="1" t="s">
        <v>1735</v>
      </c>
      <c r="G196" s="20" t="s">
        <v>2513</v>
      </c>
      <c r="M196" s="20" t="s">
        <v>506</v>
      </c>
      <c r="N196" s="1" t="s">
        <v>2460</v>
      </c>
      <c r="R196" s="20" t="s">
        <v>425</v>
      </c>
      <c r="S196" s="20" t="s">
        <v>445</v>
      </c>
      <c r="U196" s="1" t="s">
        <v>374</v>
      </c>
      <c r="Y196" s="1" t="s">
        <v>2485</v>
      </c>
      <c r="AA196" s="20" t="s">
        <v>2536</v>
      </c>
      <c r="AF196" s="21"/>
      <c r="AG196" s="21" t="s">
        <v>228</v>
      </c>
      <c r="AH196" s="20" t="s">
        <v>52</v>
      </c>
      <c r="AI196" s="20" t="s">
        <v>52</v>
      </c>
      <c r="AJ196" s="20" t="s">
        <v>52</v>
      </c>
      <c r="AM196" s="1" t="s">
        <v>2493</v>
      </c>
      <c r="AO196" s="1" t="s">
        <v>2494</v>
      </c>
      <c r="AQ196" s="20" t="s">
        <v>2558</v>
      </c>
      <c r="AU196" s="20" t="s">
        <v>158</v>
      </c>
      <c r="AV196" s="20" t="s">
        <v>249</v>
      </c>
    </row>
    <row r="197" spans="1:48" s="20" customFormat="1" x14ac:dyDescent="0.3">
      <c r="A197" s="20" t="s">
        <v>2461</v>
      </c>
      <c r="C197" s="20" t="s">
        <v>756</v>
      </c>
      <c r="E197" s="20" t="s">
        <v>386</v>
      </c>
      <c r="G197" s="20" t="s">
        <v>2514</v>
      </c>
      <c r="M197" s="20" t="s">
        <v>457</v>
      </c>
      <c r="N197" s="20" t="s">
        <v>1014</v>
      </c>
      <c r="R197" s="20" t="s">
        <v>1760</v>
      </c>
      <c r="S197" s="20" t="s">
        <v>1121</v>
      </c>
      <c r="U197" s="20" t="s">
        <v>372</v>
      </c>
      <c r="Y197" s="20" t="s">
        <v>1098</v>
      </c>
      <c r="AA197" s="20" t="s">
        <v>2537</v>
      </c>
      <c r="AF197" s="21"/>
      <c r="AG197" s="21" t="s">
        <v>134</v>
      </c>
      <c r="AH197" s="20" t="s">
        <v>52</v>
      </c>
      <c r="AI197" s="20" t="s">
        <v>52</v>
      </c>
      <c r="AJ197" s="20" t="s">
        <v>52</v>
      </c>
      <c r="AM197" s="20" t="s">
        <v>155</v>
      </c>
      <c r="AO197" s="20" t="s">
        <v>446</v>
      </c>
      <c r="AQ197" s="20" t="s">
        <v>2559</v>
      </c>
      <c r="AU197" s="20" t="s">
        <v>228</v>
      </c>
      <c r="AV197" s="20" t="s">
        <v>249</v>
      </c>
    </row>
    <row r="198" spans="1:48" s="20" customFormat="1" x14ac:dyDescent="0.3">
      <c r="A198" s="20" t="s">
        <v>2462</v>
      </c>
      <c r="C198" s="20" t="s">
        <v>756</v>
      </c>
      <c r="E198" s="20" t="s">
        <v>96</v>
      </c>
      <c r="G198" s="20" t="s">
        <v>2515</v>
      </c>
      <c r="M198" s="20" t="s">
        <v>362</v>
      </c>
      <c r="N198" s="27" t="s">
        <v>1015</v>
      </c>
      <c r="R198" s="20" t="s">
        <v>443</v>
      </c>
      <c r="S198" s="20" t="s">
        <v>311</v>
      </c>
      <c r="U198" s="3" t="s">
        <v>363</v>
      </c>
      <c r="Y198" s="3" t="s">
        <v>554</v>
      </c>
      <c r="AA198" s="20" t="s">
        <v>2538</v>
      </c>
      <c r="AF198" s="21"/>
      <c r="AG198" s="21" t="s">
        <v>133</v>
      </c>
      <c r="AH198" s="20" t="s">
        <v>52</v>
      </c>
      <c r="AI198" s="20" t="s">
        <v>52</v>
      </c>
      <c r="AJ198" s="20" t="s">
        <v>52</v>
      </c>
      <c r="AM198" s="20" t="s">
        <v>123</v>
      </c>
      <c r="AO198" s="20" t="s">
        <v>276</v>
      </c>
      <c r="AQ198" s="20" t="s">
        <v>2560</v>
      </c>
      <c r="AU198" s="20" t="s">
        <v>133</v>
      </c>
      <c r="AV198" s="20" t="s">
        <v>134</v>
      </c>
    </row>
    <row r="199" spans="1:48" s="20" customFormat="1" x14ac:dyDescent="0.3">
      <c r="A199" s="20" t="s">
        <v>2463</v>
      </c>
      <c r="C199" s="20" t="s">
        <v>643</v>
      </c>
      <c r="E199" s="20" t="s">
        <v>553</v>
      </c>
      <c r="G199" s="20" t="s">
        <v>2516</v>
      </c>
      <c r="M199" s="20" t="s">
        <v>2464</v>
      </c>
      <c r="N199" s="20" t="s">
        <v>2465</v>
      </c>
      <c r="R199" s="20" t="s">
        <v>1760</v>
      </c>
      <c r="S199" s="20" t="s">
        <v>1033</v>
      </c>
      <c r="U199" s="20" t="s">
        <v>429</v>
      </c>
      <c r="Y199" s="20" t="s">
        <v>429</v>
      </c>
      <c r="AA199" s="20" t="s">
        <v>164</v>
      </c>
      <c r="AF199" s="21"/>
      <c r="AG199" s="21" t="s">
        <v>133</v>
      </c>
      <c r="AH199" s="20" t="s">
        <v>52</v>
      </c>
      <c r="AI199" s="20" t="s">
        <v>52</v>
      </c>
      <c r="AJ199" s="20" t="s">
        <v>52</v>
      </c>
      <c r="AM199" s="20" t="s">
        <v>388</v>
      </c>
      <c r="AO199" s="20" t="s">
        <v>155</v>
      </c>
      <c r="AQ199" s="20" t="s">
        <v>2561</v>
      </c>
      <c r="AU199" s="20" t="s">
        <v>133</v>
      </c>
      <c r="AV199" s="20" t="s">
        <v>134</v>
      </c>
    </row>
    <row r="200" spans="1:48" s="20" customFormat="1" x14ac:dyDescent="0.3">
      <c r="A200" s="20" t="s">
        <v>2466</v>
      </c>
      <c r="C200" s="20" t="s">
        <v>710</v>
      </c>
      <c r="E200" s="20" t="s">
        <v>643</v>
      </c>
      <c r="G200" s="20" t="s">
        <v>2517</v>
      </c>
      <c r="M200" s="20" t="s">
        <v>720</v>
      </c>
      <c r="N200" s="27" t="s">
        <v>2324</v>
      </c>
      <c r="R200" s="20" t="s">
        <v>264</v>
      </c>
      <c r="S200" s="20" t="s">
        <v>180</v>
      </c>
      <c r="U200" s="20" t="s">
        <v>438</v>
      </c>
      <c r="Y200" s="20" t="s">
        <v>380</v>
      </c>
      <c r="AA200" s="20" t="s">
        <v>249</v>
      </c>
      <c r="AF200" s="21"/>
      <c r="AG200" s="21" t="s">
        <v>107</v>
      </c>
      <c r="AH200" s="20" t="s">
        <v>52</v>
      </c>
      <c r="AI200" s="20" t="s">
        <v>52</v>
      </c>
      <c r="AJ200" s="20" t="s">
        <v>52</v>
      </c>
      <c r="AM200" s="20" t="s">
        <v>59</v>
      </c>
      <c r="AO200" s="20" t="s">
        <v>147</v>
      </c>
      <c r="AQ200" s="20" t="s">
        <v>2562</v>
      </c>
      <c r="AU200" s="20" t="s">
        <v>71</v>
      </c>
      <c r="AV200" s="20" t="s">
        <v>158</v>
      </c>
    </row>
    <row r="201" spans="1:48" s="20" customFormat="1" x14ac:dyDescent="0.3">
      <c r="A201" s="20" t="s">
        <v>2467</v>
      </c>
      <c r="C201" s="20" t="s">
        <v>368</v>
      </c>
      <c r="E201" s="20" t="s">
        <v>49</v>
      </c>
      <c r="G201" s="20" t="s">
        <v>2518</v>
      </c>
      <c r="R201" s="20" t="s">
        <v>1121</v>
      </c>
      <c r="S201" s="20" t="s">
        <v>180</v>
      </c>
      <c r="U201" s="20" t="s">
        <v>372</v>
      </c>
      <c r="Y201" s="20" t="s">
        <v>371</v>
      </c>
      <c r="AA201" s="20" t="s">
        <v>2539</v>
      </c>
      <c r="AF201" s="21"/>
      <c r="AG201" s="21" t="s">
        <v>134</v>
      </c>
      <c r="AH201" s="20" t="s">
        <v>52</v>
      </c>
      <c r="AI201" s="20" t="s">
        <v>52</v>
      </c>
      <c r="AJ201" s="20" t="s">
        <v>52</v>
      </c>
      <c r="AM201" s="27" t="s">
        <v>507</v>
      </c>
      <c r="AO201" s="27" t="s">
        <v>150</v>
      </c>
      <c r="AQ201" s="20" t="s">
        <v>2563</v>
      </c>
      <c r="AU201" s="20" t="s">
        <v>107</v>
      </c>
      <c r="AV201" s="20" t="s">
        <v>94</v>
      </c>
    </row>
    <row r="202" spans="1:48" s="20" customFormat="1" x14ac:dyDescent="0.3">
      <c r="A202" s="20" t="s">
        <v>2468</v>
      </c>
      <c r="C202" s="20" t="s">
        <v>378</v>
      </c>
      <c r="E202" s="20" t="s">
        <v>386</v>
      </c>
      <c r="G202" s="20" t="s">
        <v>2519</v>
      </c>
      <c r="R202" s="20" t="s">
        <v>745</v>
      </c>
      <c r="S202" s="20" t="s">
        <v>251</v>
      </c>
      <c r="V202" s="20" t="s">
        <v>1093</v>
      </c>
      <c r="AC202" s="20" t="s">
        <v>525</v>
      </c>
      <c r="AE202" s="20" t="s">
        <v>2546</v>
      </c>
      <c r="AF202" s="21" t="s">
        <v>108</v>
      </c>
      <c r="AG202" s="21"/>
      <c r="AH202" s="20" t="s">
        <v>52</v>
      </c>
      <c r="AI202" s="20" t="s">
        <v>52</v>
      </c>
      <c r="AJ202" s="20" t="s">
        <v>52</v>
      </c>
      <c r="AM202" s="20" t="s">
        <v>177</v>
      </c>
      <c r="AO202" s="20" t="s">
        <v>60</v>
      </c>
      <c r="AQ202" s="20" t="s">
        <v>2564</v>
      </c>
      <c r="AU202" s="20" t="s">
        <v>147</v>
      </c>
      <c r="AV202" s="20" t="s">
        <v>158</v>
      </c>
    </row>
    <row r="203" spans="1:48" s="20" customFormat="1" x14ac:dyDescent="0.3">
      <c r="A203" s="20" t="s">
        <v>2470</v>
      </c>
      <c r="C203" s="20" t="s">
        <v>511</v>
      </c>
      <c r="E203" s="20" t="s">
        <v>136</v>
      </c>
      <c r="G203" s="20" t="s">
        <v>2520</v>
      </c>
      <c r="R203" s="20" t="s">
        <v>140</v>
      </c>
      <c r="S203" s="20" t="s">
        <v>873</v>
      </c>
      <c r="V203" s="20" t="s">
        <v>438</v>
      </c>
      <c r="AC203" s="20" t="s">
        <v>372</v>
      </c>
      <c r="AE203" s="20" t="s">
        <v>289</v>
      </c>
      <c r="AF203" s="21" t="s">
        <v>374</v>
      </c>
      <c r="AG203" s="21"/>
      <c r="AH203" s="20" t="s">
        <v>52</v>
      </c>
      <c r="AI203" s="20" t="s">
        <v>52</v>
      </c>
      <c r="AJ203" s="20" t="s">
        <v>52</v>
      </c>
      <c r="AM203" s="20" t="s">
        <v>881</v>
      </c>
      <c r="AO203" s="27" t="s">
        <v>1137</v>
      </c>
      <c r="AQ203" s="20" t="s">
        <v>2565</v>
      </c>
      <c r="AU203" s="20" t="s">
        <v>147</v>
      </c>
      <c r="AV203" s="20" t="s">
        <v>60</v>
      </c>
    </row>
    <row r="204" spans="1:48" s="20" customFormat="1" x14ac:dyDescent="0.3">
      <c r="A204" s="20" t="s">
        <v>2471</v>
      </c>
      <c r="C204" s="20" t="s">
        <v>194</v>
      </c>
      <c r="E204" s="20" t="s">
        <v>74</v>
      </c>
      <c r="G204" s="20" t="s">
        <v>2521</v>
      </c>
      <c r="R204" s="20" t="s">
        <v>800</v>
      </c>
      <c r="S204" s="20" t="s">
        <v>123</v>
      </c>
      <c r="V204" s="20" t="s">
        <v>1226</v>
      </c>
      <c r="AC204" s="20" t="s">
        <v>438</v>
      </c>
      <c r="AE204" s="20" t="s">
        <v>724</v>
      </c>
      <c r="AF204" s="21" t="s">
        <v>391</v>
      </c>
      <c r="AG204" s="21"/>
      <c r="AH204" s="20" t="s">
        <v>52</v>
      </c>
      <c r="AI204" s="20" t="s">
        <v>52</v>
      </c>
      <c r="AJ204" s="20" t="s">
        <v>52</v>
      </c>
      <c r="AM204" s="27" t="s">
        <v>729</v>
      </c>
      <c r="AO204" s="20" t="s">
        <v>417</v>
      </c>
      <c r="AQ204" s="20" t="s">
        <v>2566</v>
      </c>
      <c r="AU204" s="20" t="s">
        <v>147</v>
      </c>
      <c r="AV204" s="20" t="s">
        <v>158</v>
      </c>
    </row>
    <row r="205" spans="1:48" s="20" customFormat="1" x14ac:dyDescent="0.3">
      <c r="A205" s="20" t="s">
        <v>2472</v>
      </c>
      <c r="C205" s="20" t="s">
        <v>541</v>
      </c>
      <c r="E205" s="20" t="s">
        <v>403</v>
      </c>
      <c r="G205" s="20" t="s">
        <v>2522</v>
      </c>
      <c r="R205" s="20" t="s">
        <v>507</v>
      </c>
      <c r="S205" s="20" t="s">
        <v>123</v>
      </c>
      <c r="V205" s="20" t="s">
        <v>429</v>
      </c>
      <c r="AC205" s="20" t="s">
        <v>380</v>
      </c>
      <c r="AE205" s="20" t="s">
        <v>156</v>
      </c>
      <c r="AF205" s="21" t="s">
        <v>301</v>
      </c>
      <c r="AG205" s="21"/>
      <c r="AH205" s="20" t="s">
        <v>52</v>
      </c>
      <c r="AI205" s="20" t="s">
        <v>52</v>
      </c>
      <c r="AJ205" s="20" t="s">
        <v>52</v>
      </c>
      <c r="AM205" s="27" t="s">
        <v>1992</v>
      </c>
      <c r="AO205" s="20" t="s">
        <v>1735</v>
      </c>
      <c r="AQ205" s="20" t="s">
        <v>2567</v>
      </c>
      <c r="AU205" s="20" t="s">
        <v>228</v>
      </c>
      <c r="AV205" s="20" t="s">
        <v>133</v>
      </c>
    </row>
    <row r="206" spans="1:48" s="20" customFormat="1" x14ac:dyDescent="0.3">
      <c r="A206" s="20" t="s">
        <v>2473</v>
      </c>
      <c r="C206" s="20" t="s">
        <v>554</v>
      </c>
      <c r="E206" s="20" t="s">
        <v>298</v>
      </c>
      <c r="G206" s="20" t="s">
        <v>2523</v>
      </c>
      <c r="R206" s="20" t="s">
        <v>2531</v>
      </c>
      <c r="S206" s="20" t="s">
        <v>400</v>
      </c>
      <c r="V206" s="20" t="s">
        <v>438</v>
      </c>
      <c r="AC206" s="20" t="s">
        <v>429</v>
      </c>
      <c r="AE206" s="20" t="s">
        <v>331</v>
      </c>
      <c r="AF206" s="21" t="s">
        <v>388</v>
      </c>
      <c r="AG206" s="21"/>
      <c r="AH206" s="20" t="s">
        <v>52</v>
      </c>
      <c r="AI206" s="20" t="s">
        <v>52</v>
      </c>
      <c r="AJ206" s="20" t="s">
        <v>52</v>
      </c>
      <c r="AM206" s="20" t="s">
        <v>873</v>
      </c>
      <c r="AO206" s="27" t="s">
        <v>467</v>
      </c>
      <c r="AQ206" s="20" t="s">
        <v>2568</v>
      </c>
      <c r="AU206" s="20" t="s">
        <v>147</v>
      </c>
      <c r="AV206" s="20" t="s">
        <v>60</v>
      </c>
    </row>
    <row r="207" spans="1:48" s="20" customFormat="1" x14ac:dyDescent="0.3">
      <c r="A207" s="20" t="s">
        <v>2474</v>
      </c>
      <c r="C207" s="20" t="s">
        <v>698</v>
      </c>
      <c r="E207" s="20" t="s">
        <v>368</v>
      </c>
      <c r="G207" s="20" t="s">
        <v>2524</v>
      </c>
      <c r="R207" s="20" t="s">
        <v>289</v>
      </c>
      <c r="S207" s="20" t="s">
        <v>374</v>
      </c>
      <c r="U207" s="20" t="s">
        <v>429</v>
      </c>
      <c r="Y207" s="20" t="s">
        <v>372</v>
      </c>
      <c r="AA207" s="20" t="s">
        <v>311</v>
      </c>
      <c r="AF207" s="21"/>
      <c r="AG207" s="21" t="s">
        <v>263</v>
      </c>
      <c r="AH207" s="20" t="s">
        <v>52</v>
      </c>
      <c r="AI207" s="20" t="s">
        <v>52</v>
      </c>
      <c r="AJ207" s="20" t="s">
        <v>52</v>
      </c>
      <c r="AM207" s="20" t="s">
        <v>245</v>
      </c>
      <c r="AO207" s="20" t="s">
        <v>79</v>
      </c>
      <c r="AQ207" s="20" t="s">
        <v>2569</v>
      </c>
      <c r="AU207" s="20" t="s">
        <v>71</v>
      </c>
      <c r="AV207" s="20" t="s">
        <v>94</v>
      </c>
    </row>
    <row r="208" spans="1:48" s="20" customFormat="1" x14ac:dyDescent="0.3">
      <c r="A208" s="20" t="s">
        <v>2475</v>
      </c>
      <c r="C208" s="20" t="s">
        <v>304</v>
      </c>
      <c r="E208" s="20" t="s">
        <v>460</v>
      </c>
      <c r="G208" s="20" t="s">
        <v>2525</v>
      </c>
      <c r="M208" s="20" t="s">
        <v>445</v>
      </c>
      <c r="N208" s="20" t="s">
        <v>1142</v>
      </c>
      <c r="R208" s="20" t="s">
        <v>307</v>
      </c>
      <c r="S208" s="20" t="s">
        <v>180</v>
      </c>
      <c r="U208" s="20" t="s">
        <v>372</v>
      </c>
      <c r="Y208" s="20" t="s">
        <v>1147</v>
      </c>
      <c r="AA208" s="20" t="s">
        <v>2540</v>
      </c>
      <c r="AF208" s="21"/>
      <c r="AG208" s="21" t="s">
        <v>56</v>
      </c>
      <c r="AH208" s="20" t="s">
        <v>52</v>
      </c>
      <c r="AI208" s="20" t="s">
        <v>52</v>
      </c>
      <c r="AJ208" s="20" t="s">
        <v>52</v>
      </c>
      <c r="AM208" s="20" t="s">
        <v>107</v>
      </c>
      <c r="AO208" s="20" t="s">
        <v>276</v>
      </c>
      <c r="AQ208" s="20" t="s">
        <v>2570</v>
      </c>
      <c r="AU208" s="20" t="s">
        <v>107</v>
      </c>
      <c r="AV208" s="20" t="s">
        <v>158</v>
      </c>
    </row>
    <row r="209" spans="1:48" s="20" customFormat="1" x14ac:dyDescent="0.3">
      <c r="A209" s="20" t="s">
        <v>2476</v>
      </c>
      <c r="C209" s="20" t="s">
        <v>74</v>
      </c>
      <c r="E209" s="20" t="s">
        <v>245</v>
      </c>
      <c r="G209" s="20" t="s">
        <v>2526</v>
      </c>
      <c r="M209" s="20" t="s">
        <v>1142</v>
      </c>
      <c r="N209" s="20" t="s">
        <v>867</v>
      </c>
      <c r="R209" s="20" t="s">
        <v>224</v>
      </c>
      <c r="S209" s="20" t="s">
        <v>331</v>
      </c>
      <c r="U209" s="20" t="s">
        <v>1092</v>
      </c>
      <c r="Y209" s="20" t="s">
        <v>1098</v>
      </c>
      <c r="AA209" s="20" t="s">
        <v>2541</v>
      </c>
      <c r="AF209" s="21"/>
      <c r="AG209" s="21" t="s">
        <v>134</v>
      </c>
      <c r="AH209" s="20" t="s">
        <v>52</v>
      </c>
      <c r="AI209" s="20" t="s">
        <v>52</v>
      </c>
      <c r="AJ209" s="20" t="s">
        <v>52</v>
      </c>
      <c r="AM209" s="1" t="s">
        <v>2495</v>
      </c>
      <c r="AO209" s="1" t="s">
        <v>730</v>
      </c>
      <c r="AQ209" s="20" t="s">
        <v>2571</v>
      </c>
      <c r="AU209" s="20" t="s">
        <v>228</v>
      </c>
      <c r="AV209" s="20" t="s">
        <v>158</v>
      </c>
    </row>
    <row r="210" spans="1:48" s="20" customFormat="1" x14ac:dyDescent="0.3">
      <c r="A210" s="20" t="s">
        <v>2477</v>
      </c>
      <c r="C210" s="20" t="s">
        <v>50</v>
      </c>
      <c r="E210" s="20" t="s">
        <v>541</v>
      </c>
      <c r="G210" s="20" t="s">
        <v>2527</v>
      </c>
      <c r="M210" s="20" t="s">
        <v>67</v>
      </c>
      <c r="N210" s="3" t="s">
        <v>1061</v>
      </c>
      <c r="R210" s="20" t="s">
        <v>322</v>
      </c>
      <c r="S210" s="20" t="s">
        <v>123</v>
      </c>
      <c r="U210" s="20" t="s">
        <v>548</v>
      </c>
      <c r="Y210" s="20" t="s">
        <v>438</v>
      </c>
      <c r="AA210" s="20" t="s">
        <v>97</v>
      </c>
      <c r="AF210" s="21"/>
      <c r="AG210" s="21" t="s">
        <v>133</v>
      </c>
      <c r="AH210" s="20" t="s">
        <v>52</v>
      </c>
      <c r="AI210" s="20" t="s">
        <v>52</v>
      </c>
      <c r="AJ210" s="20" t="s">
        <v>52</v>
      </c>
      <c r="AM210" s="20" t="s">
        <v>445</v>
      </c>
      <c r="AO210" s="20" t="s">
        <v>745</v>
      </c>
      <c r="AQ210" s="20" t="s">
        <v>2572</v>
      </c>
      <c r="AU210" s="20" t="s">
        <v>228</v>
      </c>
      <c r="AV210" s="20" t="s">
        <v>133</v>
      </c>
    </row>
    <row r="211" spans="1:48" s="20" customFormat="1" x14ac:dyDescent="0.3">
      <c r="A211" s="20" t="s">
        <v>2478</v>
      </c>
      <c r="C211" s="20" t="s">
        <v>110</v>
      </c>
      <c r="E211" s="20" t="s">
        <v>793</v>
      </c>
      <c r="G211" s="20" t="s">
        <v>2528</v>
      </c>
      <c r="M211" s="20" t="s">
        <v>866</v>
      </c>
      <c r="N211" s="20" t="s">
        <v>1097</v>
      </c>
      <c r="R211" s="20" t="s">
        <v>118</v>
      </c>
      <c r="S211" s="20" t="s">
        <v>486</v>
      </c>
      <c r="U211" s="20" t="s">
        <v>1086</v>
      </c>
      <c r="Y211" s="20" t="s">
        <v>380</v>
      </c>
      <c r="AA211" s="20" t="s">
        <v>110</v>
      </c>
      <c r="AF211" s="21"/>
      <c r="AG211" s="27" t="s">
        <v>284</v>
      </c>
      <c r="AH211" s="20" t="s">
        <v>52</v>
      </c>
      <c r="AI211" s="20" t="s">
        <v>52</v>
      </c>
      <c r="AJ211" s="20" t="s">
        <v>52</v>
      </c>
      <c r="AM211" s="20" t="s">
        <v>1033</v>
      </c>
      <c r="AO211" s="20" t="s">
        <v>1174</v>
      </c>
      <c r="AQ211" s="20" t="s">
        <v>2573</v>
      </c>
      <c r="AU211" s="20" t="s">
        <v>107</v>
      </c>
      <c r="AV211" s="20" t="s">
        <v>134</v>
      </c>
    </row>
    <row r="212" spans="1:48" s="20" customFormat="1" x14ac:dyDescent="0.3">
      <c r="A212" s="20" t="s">
        <v>2479</v>
      </c>
      <c r="C212" s="20" t="s">
        <v>793</v>
      </c>
      <c r="E212" s="20" t="s">
        <v>274</v>
      </c>
      <c r="G212" s="20" t="s">
        <v>2529</v>
      </c>
      <c r="M212" s="20" t="s">
        <v>327</v>
      </c>
      <c r="N212" s="20" t="s">
        <v>2480</v>
      </c>
      <c r="R212" s="20" t="s">
        <v>462</v>
      </c>
      <c r="S212" s="20" t="s">
        <v>206</v>
      </c>
      <c r="U212" s="27" t="s">
        <v>570</v>
      </c>
      <c r="Y212" s="27" t="s">
        <v>1037</v>
      </c>
      <c r="AA212" s="20" t="s">
        <v>2542</v>
      </c>
      <c r="AF212" s="21"/>
      <c r="AG212" s="27" t="s">
        <v>97</v>
      </c>
      <c r="AH212" s="20" t="s">
        <v>52</v>
      </c>
      <c r="AI212" s="20" t="s">
        <v>52</v>
      </c>
      <c r="AJ212" s="20" t="s">
        <v>52</v>
      </c>
      <c r="AM212" s="27" t="s">
        <v>1484</v>
      </c>
      <c r="AO212" s="27" t="s">
        <v>1710</v>
      </c>
      <c r="AQ212" s="20" t="s">
        <v>2574</v>
      </c>
      <c r="AU212" s="20" t="s">
        <v>71</v>
      </c>
      <c r="AV212" s="20" t="s">
        <v>158</v>
      </c>
    </row>
    <row r="213" spans="1:48" s="20" customFormat="1" x14ac:dyDescent="0.3">
      <c r="C213" s="6"/>
      <c r="D213" s="6"/>
      <c r="E213" s="6"/>
      <c r="AO213" s="6"/>
    </row>
    <row r="214" spans="1:48" s="20" customFormat="1" x14ac:dyDescent="0.3">
      <c r="C214" s="6"/>
      <c r="D214" s="6"/>
      <c r="E214" s="6"/>
      <c r="AO214" s="6"/>
    </row>
    <row r="215" spans="1:48" s="20" customFormat="1" x14ac:dyDescent="0.3">
      <c r="C215" s="6"/>
      <c r="D215" s="6"/>
      <c r="E215" s="6"/>
      <c r="AO215" s="6"/>
    </row>
    <row r="216" spans="1:48" s="20" customFormat="1" x14ac:dyDescent="0.3">
      <c r="C216" s="6"/>
      <c r="D216" s="6"/>
      <c r="E216" s="6"/>
      <c r="AO216" s="6"/>
    </row>
    <row r="217" spans="1:48" s="20" customFormat="1" x14ac:dyDescent="0.3">
      <c r="C217" s="6"/>
      <c r="D217" s="6"/>
      <c r="E217" s="6"/>
      <c r="AO217" s="6"/>
    </row>
    <row r="218" spans="1:48" s="20" customFormat="1" x14ac:dyDescent="0.3">
      <c r="C218" s="6"/>
      <c r="D218" s="6"/>
      <c r="E218" s="6"/>
      <c r="AO218" s="6"/>
    </row>
    <row r="219" spans="1:48" s="20" customFormat="1" x14ac:dyDescent="0.3">
      <c r="C219" s="6"/>
      <c r="D219" s="6"/>
      <c r="E219" s="6"/>
      <c r="AO219" s="6"/>
    </row>
    <row r="220" spans="1:48" s="20" customFormat="1" x14ac:dyDescent="0.3">
      <c r="C220" s="6"/>
      <c r="D220" s="6"/>
      <c r="E220" s="6"/>
      <c r="AO220" s="6"/>
    </row>
    <row r="221" spans="1:48" s="4" customFormat="1" x14ac:dyDescent="0.3">
      <c r="C221" s="6"/>
      <c r="D221" s="6"/>
      <c r="E221" s="6"/>
      <c r="AO221" s="6"/>
    </row>
    <row r="222" spans="1:48" s="4" customFormat="1" x14ac:dyDescent="0.3">
      <c r="C222" s="6"/>
      <c r="D222" s="6"/>
      <c r="E222" s="6"/>
      <c r="AO222" s="6"/>
    </row>
    <row r="223" spans="1:48" s="4" customFormat="1" x14ac:dyDescent="0.3">
      <c r="C223" s="6"/>
      <c r="D223" s="6"/>
      <c r="E223" s="6"/>
      <c r="AO223" s="6"/>
    </row>
    <row r="224" spans="1:48" s="4" customFormat="1" x14ac:dyDescent="0.3">
      <c r="C224" s="6"/>
      <c r="D224" s="6"/>
      <c r="E224" s="6"/>
      <c r="AO224" s="6"/>
    </row>
    <row r="225" spans="1:41" s="4" customFormat="1" x14ac:dyDescent="0.3">
      <c r="C225" s="6"/>
      <c r="D225" s="6"/>
      <c r="E225" s="6"/>
      <c r="AO225" s="6"/>
    </row>
    <row r="226" spans="1:41" s="4" customFormat="1" x14ac:dyDescent="0.3">
      <c r="C226" s="6"/>
      <c r="D226" s="6"/>
      <c r="E226" s="6"/>
      <c r="AO226" s="6"/>
    </row>
    <row r="227" spans="1:41" s="4" customFormat="1" x14ac:dyDescent="0.3">
      <c r="C227" s="6"/>
      <c r="D227" s="6"/>
      <c r="E227" s="6"/>
      <c r="AO227" s="6"/>
    </row>
    <row r="229" spans="1:41" x14ac:dyDescent="0.3">
      <c r="A229" s="23" t="s">
        <v>1190</v>
      </c>
      <c r="B229" s="24"/>
      <c r="C229" s="24"/>
      <c r="D229" s="24"/>
      <c r="E229" s="24"/>
      <c r="R229">
        <f>AVERAGE(R12:R166)</f>
        <v>8.3999954838709652</v>
      </c>
      <c r="S229">
        <f>MAX(S12:S166)</f>
        <v>37.235999999999997</v>
      </c>
    </row>
    <row r="230" spans="1:41" x14ac:dyDescent="0.3">
      <c r="B230" t="s">
        <v>8</v>
      </c>
      <c r="C230" t="s">
        <v>8</v>
      </c>
      <c r="D230" t="s">
        <v>8</v>
      </c>
    </row>
    <row r="231" spans="1:41" x14ac:dyDescent="0.3">
      <c r="B231" t="s">
        <v>22</v>
      </c>
      <c r="C231" t="s">
        <v>23</v>
      </c>
      <c r="D231" t="s">
        <v>24</v>
      </c>
    </row>
    <row r="232" spans="1:41" x14ac:dyDescent="0.3">
      <c r="A232" t="s">
        <v>39</v>
      </c>
      <c r="B232" t="s">
        <v>41</v>
      </c>
      <c r="C232" t="s">
        <v>41</v>
      </c>
      <c r="D232" t="s">
        <v>45</v>
      </c>
    </row>
    <row r="233" spans="1:41" x14ac:dyDescent="0.3">
      <c r="A233" t="s">
        <v>584</v>
      </c>
      <c r="B233" t="s">
        <v>65</v>
      </c>
      <c r="C233" t="s">
        <v>1191</v>
      </c>
      <c r="D233" t="s">
        <v>1191</v>
      </c>
    </row>
    <row r="234" spans="1:41" x14ac:dyDescent="0.3">
      <c r="A234" t="s">
        <v>600</v>
      </c>
      <c r="B234" t="s">
        <v>54</v>
      </c>
      <c r="C234" t="s">
        <v>1191</v>
      </c>
      <c r="D234" t="s">
        <v>1191</v>
      </c>
    </row>
    <row r="235" spans="1:41" x14ac:dyDescent="0.3">
      <c r="A235" t="s">
        <v>614</v>
      </c>
      <c r="B235" t="s">
        <v>65</v>
      </c>
      <c r="C235" t="s">
        <v>1191</v>
      </c>
      <c r="D235" t="s">
        <v>1191</v>
      </c>
    </row>
    <row r="236" spans="1:41" x14ac:dyDescent="0.3">
      <c r="A236" t="s">
        <v>633</v>
      </c>
      <c r="B236" t="s">
        <v>54</v>
      </c>
      <c r="C236" t="s">
        <v>1191</v>
      </c>
      <c r="D236" t="s">
        <v>1191</v>
      </c>
    </row>
    <row r="237" spans="1:41" x14ac:dyDescent="0.3">
      <c r="A237" t="s">
        <v>652</v>
      </c>
      <c r="B237" t="s">
        <v>54</v>
      </c>
      <c r="C237" t="s">
        <v>1191</v>
      </c>
      <c r="D237" t="s">
        <v>1191</v>
      </c>
    </row>
    <row r="238" spans="1:41" x14ac:dyDescent="0.3">
      <c r="A238" t="s">
        <v>666</v>
      </c>
      <c r="B238" t="s">
        <v>65</v>
      </c>
      <c r="C238" t="s">
        <v>1191</v>
      </c>
      <c r="D238" t="s">
        <v>1191</v>
      </c>
    </row>
    <row r="239" spans="1:41" x14ac:dyDescent="0.3">
      <c r="A239" t="s">
        <v>680</v>
      </c>
      <c r="B239" t="s">
        <v>65</v>
      </c>
      <c r="C239" t="s">
        <v>1191</v>
      </c>
      <c r="D239" t="s">
        <v>1191</v>
      </c>
    </row>
    <row r="240" spans="1:41" x14ac:dyDescent="0.3">
      <c r="A240" t="s">
        <v>692</v>
      </c>
      <c r="B240" t="s">
        <v>54</v>
      </c>
      <c r="C240" t="s">
        <v>1191</v>
      </c>
      <c r="D240" t="s">
        <v>1191</v>
      </c>
    </row>
    <row r="241" spans="1:4" x14ac:dyDescent="0.3">
      <c r="A241" t="s">
        <v>703</v>
      </c>
      <c r="B241" t="s">
        <v>54</v>
      </c>
      <c r="C241" t="s">
        <v>1191</v>
      </c>
      <c r="D241" t="s">
        <v>1191</v>
      </c>
    </row>
    <row r="242" spans="1:4" x14ac:dyDescent="0.3">
      <c r="A242" t="s">
        <v>718</v>
      </c>
      <c r="B242" t="s">
        <v>65</v>
      </c>
      <c r="C242" t="s">
        <v>1191</v>
      </c>
      <c r="D242" t="s">
        <v>1191</v>
      </c>
    </row>
    <row r="243" spans="1:4" x14ac:dyDescent="0.3">
      <c r="A243" t="s">
        <v>734</v>
      </c>
      <c r="B243" t="s">
        <v>54</v>
      </c>
      <c r="C243" t="s">
        <v>1191</v>
      </c>
      <c r="D243" t="s">
        <v>1191</v>
      </c>
    </row>
    <row r="244" spans="1:4" x14ac:dyDescent="0.3">
      <c r="A244" t="s">
        <v>747</v>
      </c>
      <c r="B244" t="s">
        <v>65</v>
      </c>
      <c r="C244" t="s">
        <v>1191</v>
      </c>
      <c r="D244" t="s">
        <v>1191</v>
      </c>
    </row>
    <row r="245" spans="1:4" x14ac:dyDescent="0.3">
      <c r="A245" t="s">
        <v>762</v>
      </c>
      <c r="B245" t="s">
        <v>65</v>
      </c>
      <c r="C245" t="s">
        <v>1191</v>
      </c>
      <c r="D245" t="s">
        <v>1191</v>
      </c>
    </row>
    <row r="246" spans="1:4" x14ac:dyDescent="0.3">
      <c r="A246" t="s">
        <v>780</v>
      </c>
      <c r="B246" t="s">
        <v>1192</v>
      </c>
      <c r="C246" t="s">
        <v>1191</v>
      </c>
      <c r="D246" t="s">
        <v>1191</v>
      </c>
    </row>
    <row r="247" spans="1:4" x14ac:dyDescent="0.3">
      <c r="A247" t="s">
        <v>791</v>
      </c>
      <c r="B247" t="s">
        <v>54</v>
      </c>
      <c r="C247" t="s">
        <v>1191</v>
      </c>
      <c r="D247" t="s">
        <v>1191</v>
      </c>
    </row>
    <row r="248" spans="1:4" x14ac:dyDescent="0.3">
      <c r="A248" t="s">
        <v>807</v>
      </c>
      <c r="B248" t="s">
        <v>1192</v>
      </c>
      <c r="C248" t="s">
        <v>1191</v>
      </c>
      <c r="D248" t="s">
        <v>1191</v>
      </c>
    </row>
    <row r="249" spans="1:4" x14ac:dyDescent="0.3">
      <c r="A249" t="s">
        <v>820</v>
      </c>
      <c r="B249" t="s">
        <v>529</v>
      </c>
      <c r="C249" t="s">
        <v>727</v>
      </c>
      <c r="D249" t="s">
        <v>727</v>
      </c>
    </row>
    <row r="250" spans="1:4" x14ac:dyDescent="0.3">
      <c r="A250" t="s">
        <v>835</v>
      </c>
      <c r="B250" t="s">
        <v>529</v>
      </c>
      <c r="C250" t="s">
        <v>1191</v>
      </c>
      <c r="D250" t="s">
        <v>1191</v>
      </c>
    </row>
    <row r="251" spans="1:4" x14ac:dyDescent="0.3">
      <c r="A251" t="s">
        <v>846</v>
      </c>
      <c r="B251" t="s">
        <v>1192</v>
      </c>
      <c r="C251" t="s">
        <v>1191</v>
      </c>
      <c r="D251" t="s">
        <v>1191</v>
      </c>
    </row>
    <row r="252" spans="1:4" x14ac:dyDescent="0.3">
      <c r="A252" t="s">
        <v>856</v>
      </c>
      <c r="B252" t="s">
        <v>65</v>
      </c>
      <c r="C252" t="s">
        <v>1191</v>
      </c>
      <c r="D252" t="s">
        <v>1191</v>
      </c>
    </row>
    <row r="253" spans="1:4" x14ac:dyDescent="0.3">
      <c r="A253" t="s">
        <v>864</v>
      </c>
      <c r="B253" t="s">
        <v>1193</v>
      </c>
      <c r="C253" t="s">
        <v>1191</v>
      </c>
      <c r="D253" t="s">
        <v>1191</v>
      </c>
    </row>
    <row r="254" spans="1:4" x14ac:dyDescent="0.3">
      <c r="A254" t="s">
        <v>875</v>
      </c>
      <c r="B254" t="s">
        <v>65</v>
      </c>
      <c r="C254" t="s">
        <v>1191</v>
      </c>
      <c r="D254" t="s">
        <v>1191</v>
      </c>
    </row>
    <row r="255" spans="1:4" x14ac:dyDescent="0.3">
      <c r="A255" t="s">
        <v>888</v>
      </c>
      <c r="B255" t="s">
        <v>1192</v>
      </c>
      <c r="C255" t="s">
        <v>1191</v>
      </c>
      <c r="D255" t="s">
        <v>1191</v>
      </c>
    </row>
    <row r="256" spans="1:4" x14ac:dyDescent="0.3">
      <c r="A256" t="s">
        <v>902</v>
      </c>
      <c r="B256" t="s">
        <v>1192</v>
      </c>
      <c r="C256" t="s">
        <v>1191</v>
      </c>
      <c r="D256" t="s">
        <v>1191</v>
      </c>
    </row>
    <row r="257" spans="1:4" x14ac:dyDescent="0.3">
      <c r="A257" t="s">
        <v>915</v>
      </c>
      <c r="B257" t="s">
        <v>1192</v>
      </c>
      <c r="C257" t="s">
        <v>1191</v>
      </c>
      <c r="D257" t="s">
        <v>1191</v>
      </c>
    </row>
    <row r="258" spans="1:4" x14ac:dyDescent="0.3">
      <c r="A258" t="s">
        <v>928</v>
      </c>
      <c r="B258" t="s">
        <v>65</v>
      </c>
      <c r="C258" t="s">
        <v>1191</v>
      </c>
      <c r="D258" t="s">
        <v>1191</v>
      </c>
    </row>
    <row r="259" spans="1:4" x14ac:dyDescent="0.3">
      <c r="A259" t="s">
        <v>941</v>
      </c>
      <c r="B259" t="s">
        <v>54</v>
      </c>
      <c r="C259" t="s">
        <v>1191</v>
      </c>
      <c r="D259" t="s">
        <v>1191</v>
      </c>
    </row>
    <row r="260" spans="1:4" x14ac:dyDescent="0.3">
      <c r="A260" t="s">
        <v>953</v>
      </c>
      <c r="B260" t="s">
        <v>54</v>
      </c>
      <c r="C260" t="s">
        <v>1191</v>
      </c>
      <c r="D260" t="s">
        <v>1191</v>
      </c>
    </row>
    <row r="261" spans="1:4" x14ac:dyDescent="0.3">
      <c r="A261" t="s">
        <v>962</v>
      </c>
      <c r="B261" t="s">
        <v>65</v>
      </c>
      <c r="C261" t="s">
        <v>1191</v>
      </c>
      <c r="D261" t="s">
        <v>1191</v>
      </c>
    </row>
    <row r="262" spans="1:4" x14ac:dyDescent="0.3">
      <c r="A262" t="s">
        <v>972</v>
      </c>
      <c r="B262" t="s">
        <v>54</v>
      </c>
      <c r="C262" t="s">
        <v>1191</v>
      </c>
      <c r="D262" t="s">
        <v>1191</v>
      </c>
    </row>
    <row r="263" spans="1:4" x14ac:dyDescent="0.3">
      <c r="A263" t="s">
        <v>983</v>
      </c>
      <c r="B263" t="s">
        <v>54</v>
      </c>
      <c r="C263" t="s">
        <v>1191</v>
      </c>
      <c r="D263" t="s">
        <v>1191</v>
      </c>
    </row>
    <row r="264" spans="1:4" x14ac:dyDescent="0.3">
      <c r="A264" t="s">
        <v>991</v>
      </c>
      <c r="B264" t="s">
        <v>65</v>
      </c>
      <c r="C264" t="s">
        <v>1191</v>
      </c>
      <c r="D264" t="s">
        <v>1191</v>
      </c>
    </row>
    <row r="265" spans="1:4" x14ac:dyDescent="0.3">
      <c r="A265" t="s">
        <v>1001</v>
      </c>
      <c r="B265" t="s">
        <v>65</v>
      </c>
      <c r="C265" t="s">
        <v>1191</v>
      </c>
      <c r="D265" t="s">
        <v>1191</v>
      </c>
    </row>
    <row r="266" spans="1:4" x14ac:dyDescent="0.3">
      <c r="A266" t="s">
        <v>1018</v>
      </c>
      <c r="B266" t="s">
        <v>1194</v>
      </c>
      <c r="C266" t="s">
        <v>1191</v>
      </c>
      <c r="D266" t="s">
        <v>1191</v>
      </c>
    </row>
    <row r="267" spans="1:4" x14ac:dyDescent="0.3">
      <c r="A267" t="s">
        <v>1035</v>
      </c>
      <c r="B267" t="s">
        <v>1195</v>
      </c>
      <c r="C267" t="s">
        <v>727</v>
      </c>
      <c r="D267" t="s">
        <v>727</v>
      </c>
    </row>
    <row r="268" spans="1:4" x14ac:dyDescent="0.3">
      <c r="A268" t="s">
        <v>1046</v>
      </c>
      <c r="B268" t="s">
        <v>797</v>
      </c>
      <c r="C268" t="s">
        <v>1191</v>
      </c>
      <c r="D268" t="s">
        <v>1191</v>
      </c>
    </row>
    <row r="269" spans="1:4" x14ac:dyDescent="0.3">
      <c r="A269" t="s">
        <v>1059</v>
      </c>
      <c r="B269" t="s">
        <v>539</v>
      </c>
      <c r="C269" t="s">
        <v>727</v>
      </c>
      <c r="D269" t="s">
        <v>727</v>
      </c>
    </row>
    <row r="270" spans="1:4" x14ac:dyDescent="0.3">
      <c r="A270" t="s">
        <v>1069</v>
      </c>
      <c r="B270" t="s">
        <v>1196</v>
      </c>
      <c r="C270" t="s">
        <v>727</v>
      </c>
      <c r="D270" t="s">
        <v>727</v>
      </c>
    </row>
    <row r="271" spans="1:4" x14ac:dyDescent="0.3">
      <c r="A271" t="s">
        <v>1079</v>
      </c>
      <c r="B271" t="s">
        <v>549</v>
      </c>
      <c r="C271" t="s">
        <v>727</v>
      </c>
      <c r="D271" t="s">
        <v>727</v>
      </c>
    </row>
    <row r="272" spans="1:4" x14ac:dyDescent="0.3">
      <c r="A272" t="s">
        <v>1089</v>
      </c>
      <c r="B272" t="s">
        <v>1197</v>
      </c>
      <c r="C272" t="s">
        <v>1191</v>
      </c>
      <c r="D272" t="s">
        <v>1191</v>
      </c>
    </row>
    <row r="273" spans="1:4" x14ac:dyDescent="0.3">
      <c r="A273" t="s">
        <v>1101</v>
      </c>
      <c r="B273" t="s">
        <v>1198</v>
      </c>
      <c r="C273" t="s">
        <v>727</v>
      </c>
      <c r="D273" t="s">
        <v>727</v>
      </c>
    </row>
    <row r="274" spans="1:4" x14ac:dyDescent="0.3">
      <c r="A274" t="s">
        <v>1110</v>
      </c>
      <c r="B274" t="s">
        <v>1199</v>
      </c>
      <c r="C274" t="s">
        <v>1191</v>
      </c>
      <c r="D274" t="s">
        <v>1191</v>
      </c>
    </row>
    <row r="275" spans="1:4" x14ac:dyDescent="0.3">
      <c r="A275" t="s">
        <v>1123</v>
      </c>
      <c r="B275" t="s">
        <v>1200</v>
      </c>
      <c r="C275" t="s">
        <v>727</v>
      </c>
      <c r="D275" t="s">
        <v>727</v>
      </c>
    </row>
    <row r="276" spans="1:4" x14ac:dyDescent="0.3">
      <c r="A276" t="s">
        <v>1134</v>
      </c>
      <c r="B276" t="s">
        <v>1201</v>
      </c>
      <c r="C276" t="s">
        <v>727</v>
      </c>
      <c r="D276" t="s">
        <v>727</v>
      </c>
    </row>
    <row r="277" spans="1:4" x14ac:dyDescent="0.3">
      <c r="A277" t="s">
        <v>1144</v>
      </c>
      <c r="B277" t="s">
        <v>381</v>
      </c>
      <c r="C277" t="s">
        <v>727</v>
      </c>
      <c r="D277" t="s">
        <v>727</v>
      </c>
    </row>
    <row r="278" spans="1:4" x14ac:dyDescent="0.3">
      <c r="A278" t="s">
        <v>1159</v>
      </c>
      <c r="B278" t="s">
        <v>1202</v>
      </c>
      <c r="C278" t="s">
        <v>727</v>
      </c>
      <c r="D278" t="s">
        <v>727</v>
      </c>
    </row>
    <row r="279" spans="1:4" x14ac:dyDescent="0.3">
      <c r="A279" t="s">
        <v>1172</v>
      </c>
      <c r="B279" t="s">
        <v>1202</v>
      </c>
      <c r="C279" t="s">
        <v>727</v>
      </c>
      <c r="D279" t="s">
        <v>727</v>
      </c>
    </row>
    <row r="280" spans="1:4" x14ac:dyDescent="0.3">
      <c r="A280" t="s">
        <v>1203</v>
      </c>
      <c r="B280" t="s">
        <v>1204</v>
      </c>
      <c r="C280" t="s">
        <v>1191</v>
      </c>
      <c r="D280" t="s">
        <v>1191</v>
      </c>
    </row>
    <row r="281" spans="1:4" s="4" customFormat="1" x14ac:dyDescent="0.3">
      <c r="A281" s="4" t="s">
        <v>2299</v>
      </c>
      <c r="B281" s="4" t="s">
        <v>2378</v>
      </c>
      <c r="C281" s="4" t="s">
        <v>727</v>
      </c>
      <c r="D281" s="4" t="s">
        <v>727</v>
      </c>
    </row>
    <row r="282" spans="1:4" s="4" customFormat="1" x14ac:dyDescent="0.3">
      <c r="A282" s="4" t="s">
        <v>2301</v>
      </c>
      <c r="B282" s="4" t="s">
        <v>1224</v>
      </c>
      <c r="C282" s="4" t="s">
        <v>727</v>
      </c>
      <c r="D282" s="4" t="s">
        <v>727</v>
      </c>
    </row>
    <row r="283" spans="1:4" s="4" customFormat="1" x14ac:dyDescent="0.3">
      <c r="A283" s="4" t="s">
        <v>2303</v>
      </c>
      <c r="B283" s="4" t="s">
        <v>1434</v>
      </c>
      <c r="C283" s="4" t="s">
        <v>1191</v>
      </c>
      <c r="D283" s="4" t="s">
        <v>1191</v>
      </c>
    </row>
    <row r="284" spans="1:4" s="4" customFormat="1" x14ac:dyDescent="0.3">
      <c r="A284" s="4" t="s">
        <v>2305</v>
      </c>
      <c r="B284" s="4" t="s">
        <v>2379</v>
      </c>
      <c r="C284" s="4" t="s">
        <v>727</v>
      </c>
      <c r="D284" s="4" t="s">
        <v>727</v>
      </c>
    </row>
    <row r="285" spans="1:4" s="4" customFormat="1" x14ac:dyDescent="0.3">
      <c r="A285" s="4" t="s">
        <v>2307</v>
      </c>
      <c r="B285" s="4" t="s">
        <v>2380</v>
      </c>
      <c r="C285" s="4" t="s">
        <v>727</v>
      </c>
      <c r="D285" s="4" t="s">
        <v>727</v>
      </c>
    </row>
    <row r="286" spans="1:4" s="4" customFormat="1" x14ac:dyDescent="0.3">
      <c r="A286" s="4" t="s">
        <v>2262</v>
      </c>
      <c r="B286" s="4" t="s">
        <v>2381</v>
      </c>
      <c r="C286" s="4" t="s">
        <v>1191</v>
      </c>
      <c r="D286" s="4" t="s">
        <v>1191</v>
      </c>
    </row>
    <row r="287" spans="1:4" s="4" customFormat="1" x14ac:dyDescent="0.3">
      <c r="A287" s="4" t="s">
        <v>2271</v>
      </c>
      <c r="B287" s="4" t="s">
        <v>2382</v>
      </c>
      <c r="C287" s="4" t="s">
        <v>1191</v>
      </c>
      <c r="D287" s="4" t="s">
        <v>1191</v>
      </c>
    </row>
    <row r="288" spans="1:4" s="4" customFormat="1" x14ac:dyDescent="0.3">
      <c r="A288" s="4" t="s">
        <v>2284</v>
      </c>
      <c r="B288" s="4" t="s">
        <v>1224</v>
      </c>
      <c r="C288" s="4" t="s">
        <v>727</v>
      </c>
      <c r="D288" s="4" t="s">
        <v>727</v>
      </c>
    </row>
    <row r="289" spans="1:4" s="4" customFormat="1" x14ac:dyDescent="0.3">
      <c r="A289" s="4" t="s">
        <v>2383</v>
      </c>
      <c r="B289" s="4" t="s">
        <v>429</v>
      </c>
      <c r="C289" s="4" t="s">
        <v>1191</v>
      </c>
      <c r="D289" s="4" t="s">
        <v>1191</v>
      </c>
    </row>
    <row r="290" spans="1:4" s="4" customFormat="1" x14ac:dyDescent="0.3"/>
    <row r="291" spans="1:4" s="4" customFormat="1" x14ac:dyDescent="0.3"/>
    <row r="292" spans="1:4" s="4" customFormat="1" x14ac:dyDescent="0.3"/>
    <row r="293" spans="1:4" s="4" customFormat="1" x14ac:dyDescent="0.3"/>
    <row r="294" spans="1:4" s="4" customFormat="1" x14ac:dyDescent="0.3"/>
    <row r="295" spans="1:4" s="4" customFormat="1" x14ac:dyDescent="0.3"/>
    <row r="296" spans="1:4" s="4" customFormat="1" x14ac:dyDescent="0.3"/>
    <row r="297" spans="1:4" s="4" customFormat="1" x14ac:dyDescent="0.3"/>
    <row r="298" spans="1:4" s="4" customFormat="1" x14ac:dyDescent="0.3"/>
    <row r="299" spans="1:4" s="4" customFormat="1" x14ac:dyDescent="0.3"/>
    <row r="300" spans="1:4" s="4" customFormat="1" x14ac:dyDescent="0.3"/>
    <row r="301" spans="1:4" s="4" customFormat="1" x14ac:dyDescent="0.3"/>
    <row r="302" spans="1:4" s="4" customFormat="1" x14ac:dyDescent="0.3"/>
    <row r="303" spans="1:4" s="4" customFormat="1" x14ac:dyDescent="0.3"/>
    <row r="305" spans="1:5" x14ac:dyDescent="0.3">
      <c r="A305" s="23" t="s">
        <v>1205</v>
      </c>
      <c r="B305" s="24"/>
      <c r="C305" s="24"/>
      <c r="D305" s="24"/>
      <c r="E305" s="24"/>
    </row>
    <row r="306" spans="1:5" x14ac:dyDescent="0.3">
      <c r="B306" t="s">
        <v>1206</v>
      </c>
    </row>
    <row r="307" spans="1:5" x14ac:dyDescent="0.3">
      <c r="B307" t="s">
        <v>19</v>
      </c>
    </row>
    <row r="308" spans="1:5" x14ac:dyDescent="0.3">
      <c r="A308" t="s">
        <v>39</v>
      </c>
      <c r="B308" t="s">
        <v>45</v>
      </c>
    </row>
    <row r="309" spans="1:5" x14ac:dyDescent="0.3">
      <c r="A309" t="s">
        <v>402</v>
      </c>
      <c r="B309" t="s">
        <v>1207</v>
      </c>
    </row>
    <row r="310" spans="1:5" x14ac:dyDescent="0.3">
      <c r="A310" t="s">
        <v>411</v>
      </c>
      <c r="B310" t="s">
        <v>538</v>
      </c>
    </row>
    <row r="311" spans="1:5" x14ac:dyDescent="0.3">
      <c r="A311" t="s">
        <v>420</v>
      </c>
      <c r="B311" t="s">
        <v>1208</v>
      </c>
    </row>
    <row r="312" spans="1:5" x14ac:dyDescent="0.3">
      <c r="A312" t="s">
        <v>427</v>
      </c>
      <c r="B312" t="s">
        <v>1209</v>
      </c>
    </row>
    <row r="313" spans="1:5" x14ac:dyDescent="0.3">
      <c r="A313" t="s">
        <v>436</v>
      </c>
      <c r="B313" t="s">
        <v>1210</v>
      </c>
    </row>
    <row r="314" spans="1:5" x14ac:dyDescent="0.3">
      <c r="A314" t="s">
        <v>442</v>
      </c>
      <c r="B314" t="s">
        <v>1211</v>
      </c>
    </row>
    <row r="315" spans="1:5" x14ac:dyDescent="0.3">
      <c r="A315" t="s">
        <v>448</v>
      </c>
      <c r="B315" t="s">
        <v>1212</v>
      </c>
    </row>
    <row r="316" spans="1:5" x14ac:dyDescent="0.3">
      <c r="A316" t="s">
        <v>455</v>
      </c>
      <c r="B316" t="s">
        <v>1213</v>
      </c>
    </row>
    <row r="317" spans="1:5" x14ac:dyDescent="0.3">
      <c r="A317" t="s">
        <v>464</v>
      </c>
      <c r="B317" t="s">
        <v>1119</v>
      </c>
    </row>
    <row r="318" spans="1:5" x14ac:dyDescent="0.3">
      <c r="A318" t="s">
        <v>469</v>
      </c>
      <c r="B318" t="s">
        <v>1214</v>
      </c>
    </row>
    <row r="319" spans="1:5" x14ac:dyDescent="0.3">
      <c r="A319" t="s">
        <v>474</v>
      </c>
      <c r="B319" t="s">
        <v>1215</v>
      </c>
    </row>
    <row r="320" spans="1:5" x14ac:dyDescent="0.3">
      <c r="A320" t="s">
        <v>480</v>
      </c>
      <c r="B320" t="s">
        <v>1216</v>
      </c>
    </row>
    <row r="322" spans="1:5" x14ac:dyDescent="0.3">
      <c r="A322" s="23" t="s">
        <v>1217</v>
      </c>
      <c r="B322" s="24"/>
      <c r="C322" s="24"/>
      <c r="D322" s="24"/>
      <c r="E322" s="24"/>
    </row>
    <row r="323" spans="1:5" x14ac:dyDescent="0.3">
      <c r="B323" t="s">
        <v>1218</v>
      </c>
      <c r="C323" t="s">
        <v>1218</v>
      </c>
    </row>
    <row r="324" spans="1:5" x14ac:dyDescent="0.3">
      <c r="B324" t="s">
        <v>1219</v>
      </c>
      <c r="C324" t="s">
        <v>1220</v>
      </c>
    </row>
    <row r="325" spans="1:5" x14ac:dyDescent="0.3">
      <c r="A325" t="s">
        <v>39</v>
      </c>
      <c r="B325" t="s">
        <v>1221</v>
      </c>
      <c r="C325" t="s">
        <v>1221</v>
      </c>
    </row>
    <row r="326" spans="1:5" x14ac:dyDescent="0.3">
      <c r="A326" t="s">
        <v>48</v>
      </c>
      <c r="C326" t="s">
        <v>1222</v>
      </c>
    </row>
    <row r="327" spans="1:5" x14ac:dyDescent="0.3">
      <c r="A327" t="s">
        <v>61</v>
      </c>
      <c r="C327" t="s">
        <v>1222</v>
      </c>
    </row>
    <row r="328" spans="1:5" x14ac:dyDescent="0.3">
      <c r="A328" t="s">
        <v>72</v>
      </c>
      <c r="C328" t="s">
        <v>1222</v>
      </c>
    </row>
    <row r="329" spans="1:5" x14ac:dyDescent="0.3">
      <c r="A329" t="s">
        <v>83</v>
      </c>
      <c r="C329" t="s">
        <v>1222</v>
      </c>
    </row>
    <row r="330" spans="1:5" x14ac:dyDescent="0.3">
      <c r="A330" t="s">
        <v>95</v>
      </c>
      <c r="C330" t="s">
        <v>1223</v>
      </c>
    </row>
    <row r="331" spans="1:5" x14ac:dyDescent="0.3">
      <c r="A331" t="s">
        <v>109</v>
      </c>
      <c r="C331" t="s">
        <v>1222</v>
      </c>
    </row>
    <row r="332" spans="1:5" x14ac:dyDescent="0.3">
      <c r="A332" t="s">
        <v>122</v>
      </c>
      <c r="C332" t="s">
        <v>1201</v>
      </c>
    </row>
    <row r="333" spans="1:5" x14ac:dyDescent="0.3">
      <c r="A333" t="s">
        <v>135</v>
      </c>
      <c r="C333" t="s">
        <v>1224</v>
      </c>
    </row>
    <row r="334" spans="1:5" x14ac:dyDescent="0.3">
      <c r="A334" t="s">
        <v>148</v>
      </c>
      <c r="C334" t="s">
        <v>1222</v>
      </c>
    </row>
    <row r="335" spans="1:5" x14ac:dyDescent="0.3">
      <c r="A335" t="s">
        <v>159</v>
      </c>
      <c r="C335" t="s">
        <v>1225</v>
      </c>
    </row>
    <row r="336" spans="1:5" x14ac:dyDescent="0.3">
      <c r="A336" t="s">
        <v>166</v>
      </c>
      <c r="C336" t="s">
        <v>575</v>
      </c>
    </row>
    <row r="337" spans="1:3" x14ac:dyDescent="0.3">
      <c r="A337" t="s">
        <v>176</v>
      </c>
      <c r="C337" t="s">
        <v>1225</v>
      </c>
    </row>
    <row r="338" spans="1:3" x14ac:dyDescent="0.3">
      <c r="A338" t="s">
        <v>185</v>
      </c>
      <c r="C338" t="s">
        <v>1226</v>
      </c>
    </row>
    <row r="339" spans="1:3" x14ac:dyDescent="0.3">
      <c r="A339" t="s">
        <v>192</v>
      </c>
      <c r="C339" t="s">
        <v>1225</v>
      </c>
    </row>
    <row r="340" spans="1:3" x14ac:dyDescent="0.3">
      <c r="A340" t="s">
        <v>200</v>
      </c>
      <c r="C340" t="s">
        <v>1225</v>
      </c>
    </row>
    <row r="341" spans="1:3" x14ac:dyDescent="0.3">
      <c r="A341" t="s">
        <v>209</v>
      </c>
      <c r="C341" t="s">
        <v>1225</v>
      </c>
    </row>
    <row r="342" spans="1:3" x14ac:dyDescent="0.3">
      <c r="A342" t="s">
        <v>217</v>
      </c>
      <c r="C342" t="s">
        <v>1225</v>
      </c>
    </row>
    <row r="343" spans="1:3" x14ac:dyDescent="0.3">
      <c r="A343" t="s">
        <v>227</v>
      </c>
      <c r="C343" t="s">
        <v>539</v>
      </c>
    </row>
    <row r="344" spans="1:3" x14ac:dyDescent="0.3">
      <c r="A344" t="s">
        <v>238</v>
      </c>
      <c r="C344" t="s">
        <v>1225</v>
      </c>
    </row>
    <row r="345" spans="1:3" x14ac:dyDescent="0.3">
      <c r="A345" t="s">
        <v>250</v>
      </c>
      <c r="C345" t="s">
        <v>1227</v>
      </c>
    </row>
    <row r="346" spans="1:3" x14ac:dyDescent="0.3">
      <c r="A346" t="s">
        <v>262</v>
      </c>
      <c r="C346" t="s">
        <v>638</v>
      </c>
    </row>
    <row r="347" spans="1:3" x14ac:dyDescent="0.3">
      <c r="A347" t="s">
        <v>275</v>
      </c>
      <c r="C347" t="s">
        <v>1228</v>
      </c>
    </row>
    <row r="348" spans="1:3" x14ac:dyDescent="0.3">
      <c r="A348" t="s">
        <v>283</v>
      </c>
      <c r="C348" t="s">
        <v>438</v>
      </c>
    </row>
    <row r="349" spans="1:3" x14ac:dyDescent="0.3">
      <c r="A349" t="s">
        <v>291</v>
      </c>
      <c r="C349" t="s">
        <v>1225</v>
      </c>
    </row>
    <row r="350" spans="1:3" x14ac:dyDescent="0.3">
      <c r="A350" t="s">
        <v>296</v>
      </c>
      <c r="C350" t="s">
        <v>1225</v>
      </c>
    </row>
    <row r="351" spans="1:3" x14ac:dyDescent="0.3">
      <c r="A351" t="s">
        <v>303</v>
      </c>
      <c r="C351" t="s">
        <v>1225</v>
      </c>
    </row>
    <row r="352" spans="1:3" x14ac:dyDescent="0.3">
      <c r="A352" t="s">
        <v>310</v>
      </c>
      <c r="C352" t="s">
        <v>1225</v>
      </c>
    </row>
    <row r="353" spans="1:3" x14ac:dyDescent="0.3">
      <c r="A353" t="s">
        <v>320</v>
      </c>
      <c r="C353" t="s">
        <v>1225</v>
      </c>
    </row>
    <row r="354" spans="1:3" x14ac:dyDescent="0.3">
      <c r="A354" t="s">
        <v>330</v>
      </c>
      <c r="C354" t="s">
        <v>1229</v>
      </c>
    </row>
    <row r="355" spans="1:3" x14ac:dyDescent="0.3">
      <c r="A355" t="s">
        <v>341</v>
      </c>
      <c r="C355" t="s">
        <v>1225</v>
      </c>
    </row>
    <row r="356" spans="1:3" x14ac:dyDescent="0.3">
      <c r="A356" t="s">
        <v>349</v>
      </c>
      <c r="C356" t="s">
        <v>1225</v>
      </c>
    </row>
    <row r="357" spans="1:3" x14ac:dyDescent="0.3">
      <c r="A357" t="s">
        <v>359</v>
      </c>
      <c r="C357" t="s">
        <v>1225</v>
      </c>
    </row>
    <row r="358" spans="1:3" x14ac:dyDescent="0.3">
      <c r="A358" t="s">
        <v>366</v>
      </c>
      <c r="C358" t="s">
        <v>1225</v>
      </c>
    </row>
    <row r="359" spans="1:3" x14ac:dyDescent="0.3">
      <c r="A359" t="s">
        <v>376</v>
      </c>
      <c r="C359" t="s">
        <v>1225</v>
      </c>
    </row>
    <row r="360" spans="1:3" x14ac:dyDescent="0.3">
      <c r="A360" t="s">
        <v>385</v>
      </c>
      <c r="C360" t="s">
        <v>1225</v>
      </c>
    </row>
    <row r="361" spans="1:3" x14ac:dyDescent="0.3">
      <c r="A361" t="s">
        <v>394</v>
      </c>
      <c r="C361" t="s">
        <v>1225</v>
      </c>
    </row>
    <row r="362" spans="1:3" x14ac:dyDescent="0.3">
      <c r="A362" t="s">
        <v>402</v>
      </c>
      <c r="C362" t="s">
        <v>1225</v>
      </c>
    </row>
    <row r="363" spans="1:3" x14ac:dyDescent="0.3">
      <c r="A363" t="s">
        <v>411</v>
      </c>
      <c r="C363" t="s">
        <v>1226</v>
      </c>
    </row>
    <row r="364" spans="1:3" x14ac:dyDescent="0.3">
      <c r="A364" t="s">
        <v>420</v>
      </c>
      <c r="C364" t="s">
        <v>638</v>
      </c>
    </row>
    <row r="365" spans="1:3" x14ac:dyDescent="0.3">
      <c r="A365" t="s">
        <v>427</v>
      </c>
      <c r="C365" t="s">
        <v>638</v>
      </c>
    </row>
    <row r="366" spans="1:3" x14ac:dyDescent="0.3">
      <c r="A366" t="s">
        <v>436</v>
      </c>
      <c r="C366" t="s">
        <v>1224</v>
      </c>
    </row>
    <row r="367" spans="1:3" x14ac:dyDescent="0.3">
      <c r="A367" t="s">
        <v>442</v>
      </c>
      <c r="C367" t="s">
        <v>1228</v>
      </c>
    </row>
    <row r="368" spans="1:3" x14ac:dyDescent="0.3">
      <c r="A368" t="s">
        <v>448</v>
      </c>
      <c r="C368" t="s">
        <v>1230</v>
      </c>
    </row>
    <row r="369" spans="1:3" x14ac:dyDescent="0.3">
      <c r="A369" t="s">
        <v>455</v>
      </c>
      <c r="C369" t="s">
        <v>1226</v>
      </c>
    </row>
    <row r="370" spans="1:3" x14ac:dyDescent="0.3">
      <c r="A370" t="s">
        <v>464</v>
      </c>
      <c r="C370" t="s">
        <v>638</v>
      </c>
    </row>
    <row r="371" spans="1:3" x14ac:dyDescent="0.3">
      <c r="A371" t="s">
        <v>469</v>
      </c>
      <c r="C371" t="s">
        <v>1228</v>
      </c>
    </row>
    <row r="372" spans="1:3" x14ac:dyDescent="0.3">
      <c r="A372" t="s">
        <v>474</v>
      </c>
      <c r="C372" t="s">
        <v>575</v>
      </c>
    </row>
    <row r="373" spans="1:3" x14ac:dyDescent="0.3">
      <c r="A373" t="s">
        <v>480</v>
      </c>
      <c r="C373" t="s">
        <v>548</v>
      </c>
    </row>
    <row r="374" spans="1:3" x14ac:dyDescent="0.3">
      <c r="A374" t="s">
        <v>490</v>
      </c>
      <c r="C374" t="s">
        <v>1086</v>
      </c>
    </row>
    <row r="375" spans="1:3" x14ac:dyDescent="0.3">
      <c r="A375" t="s">
        <v>495</v>
      </c>
      <c r="C375" t="s">
        <v>1086</v>
      </c>
    </row>
    <row r="376" spans="1:3" x14ac:dyDescent="0.3">
      <c r="A376" t="s">
        <v>503</v>
      </c>
      <c r="C376" t="s">
        <v>1086</v>
      </c>
    </row>
    <row r="377" spans="1:3" x14ac:dyDescent="0.3">
      <c r="A377" t="s">
        <v>510</v>
      </c>
      <c r="C377" t="s">
        <v>575</v>
      </c>
    </row>
    <row r="378" spans="1:3" x14ac:dyDescent="0.3">
      <c r="A378" t="s">
        <v>515</v>
      </c>
      <c r="C378" t="s">
        <v>638</v>
      </c>
    </row>
    <row r="379" spans="1:3" x14ac:dyDescent="0.3">
      <c r="A379" t="s">
        <v>523</v>
      </c>
      <c r="C379" t="s">
        <v>1086</v>
      </c>
    </row>
    <row r="380" spans="1:3" x14ac:dyDescent="0.3">
      <c r="A380" t="s">
        <v>533</v>
      </c>
      <c r="C380" t="s">
        <v>638</v>
      </c>
    </row>
    <row r="381" spans="1:3" x14ac:dyDescent="0.3">
      <c r="A381" t="s">
        <v>543</v>
      </c>
      <c r="C381" t="s">
        <v>1086</v>
      </c>
    </row>
    <row r="382" spans="1:3" x14ac:dyDescent="0.3">
      <c r="A382" t="s">
        <v>552</v>
      </c>
      <c r="C382" t="s">
        <v>539</v>
      </c>
    </row>
    <row r="383" spans="1:3" x14ac:dyDescent="0.3">
      <c r="A383" t="s">
        <v>560</v>
      </c>
      <c r="C383" t="s">
        <v>1226</v>
      </c>
    </row>
    <row r="384" spans="1:3" x14ac:dyDescent="0.3">
      <c r="A384" t="s">
        <v>565</v>
      </c>
      <c r="C384" t="s">
        <v>1086</v>
      </c>
    </row>
    <row r="385" spans="1:3" x14ac:dyDescent="0.3">
      <c r="A385" t="s">
        <v>572</v>
      </c>
      <c r="C385" t="s">
        <v>1086</v>
      </c>
    </row>
    <row r="386" spans="1:3" x14ac:dyDescent="0.3">
      <c r="A386" t="s">
        <v>577</v>
      </c>
      <c r="B386" t="s">
        <v>638</v>
      </c>
    </row>
    <row r="387" spans="1:3" x14ac:dyDescent="0.3">
      <c r="A387" t="s">
        <v>584</v>
      </c>
      <c r="B387" t="s">
        <v>1086</v>
      </c>
    </row>
    <row r="388" spans="1:3" x14ac:dyDescent="0.3">
      <c r="A388" t="s">
        <v>591</v>
      </c>
      <c r="B388" t="s">
        <v>638</v>
      </c>
    </row>
    <row r="389" spans="1:3" x14ac:dyDescent="0.3">
      <c r="A389" t="s">
        <v>600</v>
      </c>
      <c r="B389" t="s">
        <v>1086</v>
      </c>
    </row>
    <row r="390" spans="1:3" x14ac:dyDescent="0.3">
      <c r="A390" t="s">
        <v>606</v>
      </c>
      <c r="B390" t="s">
        <v>1086</v>
      </c>
    </row>
    <row r="391" spans="1:3" x14ac:dyDescent="0.3">
      <c r="A391" t="s">
        <v>614</v>
      </c>
      <c r="B391" t="s">
        <v>1086</v>
      </c>
    </row>
    <row r="392" spans="1:3" x14ac:dyDescent="0.3">
      <c r="A392" t="s">
        <v>624</v>
      </c>
      <c r="B392" t="s">
        <v>1086</v>
      </c>
    </row>
    <row r="393" spans="1:3" x14ac:dyDescent="0.3">
      <c r="A393" t="s">
        <v>633</v>
      </c>
      <c r="B393" t="s">
        <v>1224</v>
      </c>
    </row>
    <row r="394" spans="1:3" x14ac:dyDescent="0.3">
      <c r="A394" t="s">
        <v>642</v>
      </c>
      <c r="B394" t="s">
        <v>1224</v>
      </c>
    </row>
    <row r="395" spans="1:3" x14ac:dyDescent="0.3">
      <c r="A395" t="s">
        <v>652</v>
      </c>
      <c r="B395" t="s">
        <v>1086</v>
      </c>
    </row>
    <row r="396" spans="1:3" x14ac:dyDescent="0.3">
      <c r="A396" t="s">
        <v>660</v>
      </c>
      <c r="B396" t="s">
        <v>1086</v>
      </c>
    </row>
    <row r="397" spans="1:3" x14ac:dyDescent="0.3">
      <c r="A397" t="s">
        <v>666</v>
      </c>
      <c r="B397" t="s">
        <v>638</v>
      </c>
    </row>
    <row r="398" spans="1:3" x14ac:dyDescent="0.3">
      <c r="A398" t="s">
        <v>676</v>
      </c>
      <c r="B398" t="s">
        <v>638</v>
      </c>
    </row>
    <row r="399" spans="1:3" x14ac:dyDescent="0.3">
      <c r="A399" t="s">
        <v>680</v>
      </c>
      <c r="B399" t="s">
        <v>638</v>
      </c>
    </row>
    <row r="400" spans="1:3" x14ac:dyDescent="0.3">
      <c r="A400" t="s">
        <v>686</v>
      </c>
      <c r="B400" t="s">
        <v>638</v>
      </c>
    </row>
    <row r="401" spans="1:2" x14ac:dyDescent="0.3">
      <c r="A401" t="s">
        <v>692</v>
      </c>
      <c r="B401" t="s">
        <v>1086</v>
      </c>
    </row>
    <row r="402" spans="1:2" x14ac:dyDescent="0.3">
      <c r="A402" t="s">
        <v>697</v>
      </c>
      <c r="B402" t="s">
        <v>575</v>
      </c>
    </row>
    <row r="403" spans="1:2" x14ac:dyDescent="0.3">
      <c r="A403" t="s">
        <v>703</v>
      </c>
      <c r="B403" t="s">
        <v>575</v>
      </c>
    </row>
    <row r="404" spans="1:2" x14ac:dyDescent="0.3">
      <c r="A404" t="s">
        <v>709</v>
      </c>
      <c r="B404" t="s">
        <v>638</v>
      </c>
    </row>
    <row r="405" spans="1:2" x14ac:dyDescent="0.3">
      <c r="A405" t="s">
        <v>718</v>
      </c>
      <c r="B405" t="s">
        <v>539</v>
      </c>
    </row>
    <row r="406" spans="1:2" x14ac:dyDescent="0.3">
      <c r="A406" t="s">
        <v>726</v>
      </c>
      <c r="B406" t="s">
        <v>1086</v>
      </c>
    </row>
    <row r="407" spans="1:2" x14ac:dyDescent="0.3">
      <c r="A407" t="s">
        <v>734</v>
      </c>
      <c r="B407" t="s">
        <v>1086</v>
      </c>
    </row>
    <row r="408" spans="1:2" x14ac:dyDescent="0.3">
      <c r="A408" t="s">
        <v>738</v>
      </c>
      <c r="B408" t="s">
        <v>1086</v>
      </c>
    </row>
    <row r="409" spans="1:2" x14ac:dyDescent="0.3">
      <c r="A409" t="s">
        <v>747</v>
      </c>
      <c r="B409" t="s">
        <v>638</v>
      </c>
    </row>
    <row r="410" spans="1:2" x14ac:dyDescent="0.3">
      <c r="A410" t="s">
        <v>754</v>
      </c>
      <c r="B410" t="s">
        <v>548</v>
      </c>
    </row>
    <row r="411" spans="1:2" x14ac:dyDescent="0.3">
      <c r="A411" t="s">
        <v>762</v>
      </c>
      <c r="B411" t="s">
        <v>638</v>
      </c>
    </row>
    <row r="412" spans="1:2" x14ac:dyDescent="0.3">
      <c r="A412" t="s">
        <v>772</v>
      </c>
      <c r="B412" t="s">
        <v>575</v>
      </c>
    </row>
    <row r="413" spans="1:2" x14ac:dyDescent="0.3">
      <c r="A413" t="s">
        <v>780</v>
      </c>
      <c r="B413" t="s">
        <v>539</v>
      </c>
    </row>
    <row r="414" spans="1:2" x14ac:dyDescent="0.3">
      <c r="A414" t="s">
        <v>785</v>
      </c>
      <c r="B414" t="s">
        <v>638</v>
      </c>
    </row>
    <row r="415" spans="1:2" x14ac:dyDescent="0.3">
      <c r="A415" t="s">
        <v>791</v>
      </c>
      <c r="B415" t="s">
        <v>539</v>
      </c>
    </row>
    <row r="416" spans="1:2" x14ac:dyDescent="0.3">
      <c r="A416" t="s">
        <v>802</v>
      </c>
      <c r="B416" t="s">
        <v>638</v>
      </c>
    </row>
    <row r="417" spans="1:2" x14ac:dyDescent="0.3">
      <c r="A417" t="s">
        <v>807</v>
      </c>
      <c r="B417" t="s">
        <v>638</v>
      </c>
    </row>
    <row r="418" spans="1:2" x14ac:dyDescent="0.3">
      <c r="A418" t="s">
        <v>812</v>
      </c>
      <c r="B418" t="s">
        <v>1086</v>
      </c>
    </row>
    <row r="419" spans="1:2" x14ac:dyDescent="0.3">
      <c r="A419" t="s">
        <v>820</v>
      </c>
      <c r="B419" t="s">
        <v>1086</v>
      </c>
    </row>
    <row r="420" spans="1:2" x14ac:dyDescent="0.3">
      <c r="A420" t="s">
        <v>827</v>
      </c>
      <c r="B420" t="s">
        <v>1086</v>
      </c>
    </row>
    <row r="421" spans="1:2" x14ac:dyDescent="0.3">
      <c r="A421" t="s">
        <v>835</v>
      </c>
      <c r="B421" t="s">
        <v>575</v>
      </c>
    </row>
    <row r="422" spans="1:2" x14ac:dyDescent="0.3">
      <c r="A422" t="s">
        <v>839</v>
      </c>
      <c r="B422" t="s">
        <v>548</v>
      </c>
    </row>
    <row r="423" spans="1:2" x14ac:dyDescent="0.3">
      <c r="A423" t="s">
        <v>846</v>
      </c>
      <c r="B423" t="s">
        <v>1226</v>
      </c>
    </row>
    <row r="424" spans="1:2" x14ac:dyDescent="0.3">
      <c r="A424" t="s">
        <v>852</v>
      </c>
      <c r="B424" t="s">
        <v>575</v>
      </c>
    </row>
    <row r="425" spans="1:2" x14ac:dyDescent="0.3">
      <c r="A425" t="s">
        <v>856</v>
      </c>
      <c r="B425" t="s">
        <v>548</v>
      </c>
    </row>
    <row r="426" spans="1:2" x14ac:dyDescent="0.3">
      <c r="A426" t="s">
        <v>860</v>
      </c>
      <c r="B426" t="s">
        <v>809</v>
      </c>
    </row>
    <row r="427" spans="1:2" x14ac:dyDescent="0.3">
      <c r="A427" t="s">
        <v>864</v>
      </c>
      <c r="B427" t="s">
        <v>1086</v>
      </c>
    </row>
    <row r="428" spans="1:2" x14ac:dyDescent="0.3">
      <c r="A428" t="s">
        <v>869</v>
      </c>
      <c r="B428" t="s">
        <v>1226</v>
      </c>
    </row>
    <row r="429" spans="1:2" x14ac:dyDescent="0.3">
      <c r="A429" t="s">
        <v>875</v>
      </c>
      <c r="B429" t="s">
        <v>548</v>
      </c>
    </row>
    <row r="430" spans="1:2" x14ac:dyDescent="0.3">
      <c r="A430" t="s">
        <v>883</v>
      </c>
      <c r="B430" t="s">
        <v>1224</v>
      </c>
    </row>
    <row r="431" spans="1:2" x14ac:dyDescent="0.3">
      <c r="A431" t="s">
        <v>888</v>
      </c>
      <c r="B431" t="s">
        <v>1226</v>
      </c>
    </row>
    <row r="432" spans="1:2" x14ac:dyDescent="0.3">
      <c r="A432" t="s">
        <v>894</v>
      </c>
      <c r="B432" t="s">
        <v>575</v>
      </c>
    </row>
    <row r="433" spans="1:2" x14ac:dyDescent="0.3">
      <c r="A433" t="s">
        <v>902</v>
      </c>
      <c r="B433" t="s">
        <v>1226</v>
      </c>
    </row>
    <row r="434" spans="1:2" x14ac:dyDescent="0.3">
      <c r="A434" t="s">
        <v>910</v>
      </c>
      <c r="B434" t="s">
        <v>575</v>
      </c>
    </row>
    <row r="435" spans="1:2" x14ac:dyDescent="0.3">
      <c r="A435" t="s">
        <v>915</v>
      </c>
      <c r="B435" t="s">
        <v>575</v>
      </c>
    </row>
    <row r="436" spans="1:2" x14ac:dyDescent="0.3">
      <c r="A436" t="s">
        <v>921</v>
      </c>
      <c r="B436" t="s">
        <v>1224</v>
      </c>
    </row>
    <row r="437" spans="1:2" x14ac:dyDescent="0.3">
      <c r="A437" t="s">
        <v>928</v>
      </c>
      <c r="B437" t="s">
        <v>52</v>
      </c>
    </row>
    <row r="438" spans="1:2" x14ac:dyDescent="0.3">
      <c r="A438" t="s">
        <v>936</v>
      </c>
      <c r="B438" t="s">
        <v>1226</v>
      </c>
    </row>
    <row r="439" spans="1:2" x14ac:dyDescent="0.3">
      <c r="A439" t="s">
        <v>941</v>
      </c>
      <c r="B439" t="s">
        <v>850</v>
      </c>
    </row>
    <row r="440" spans="1:2" x14ac:dyDescent="0.3">
      <c r="A440" t="s">
        <v>947</v>
      </c>
      <c r="B440" t="s">
        <v>52</v>
      </c>
    </row>
    <row r="441" spans="1:2" x14ac:dyDescent="0.3">
      <c r="A441" t="s">
        <v>953</v>
      </c>
      <c r="B441" t="s">
        <v>52</v>
      </c>
    </row>
    <row r="442" spans="1:2" x14ac:dyDescent="0.3">
      <c r="A442" t="s">
        <v>958</v>
      </c>
      <c r="B442" t="s">
        <v>52</v>
      </c>
    </row>
    <row r="443" spans="1:2" x14ac:dyDescent="0.3">
      <c r="A443" t="s">
        <v>962</v>
      </c>
      <c r="B443" t="s">
        <v>638</v>
      </c>
    </row>
    <row r="444" spans="1:2" x14ac:dyDescent="0.3">
      <c r="A444" t="s">
        <v>968</v>
      </c>
      <c r="B444" t="s">
        <v>548</v>
      </c>
    </row>
    <row r="445" spans="1:2" x14ac:dyDescent="0.3">
      <c r="A445" t="s">
        <v>972</v>
      </c>
      <c r="B445" t="s">
        <v>862</v>
      </c>
    </row>
    <row r="446" spans="1:2" x14ac:dyDescent="0.3">
      <c r="A446" t="s">
        <v>978</v>
      </c>
      <c r="B446" t="s">
        <v>716</v>
      </c>
    </row>
    <row r="447" spans="1:2" x14ac:dyDescent="0.3">
      <c r="A447" t="s">
        <v>983</v>
      </c>
      <c r="B447" t="s">
        <v>1226</v>
      </c>
    </row>
    <row r="448" spans="1:2" x14ac:dyDescent="0.3">
      <c r="A448" t="s">
        <v>987</v>
      </c>
      <c r="B448" t="s">
        <v>1086</v>
      </c>
    </row>
    <row r="449" spans="1:2" x14ac:dyDescent="0.3">
      <c r="A449" t="s">
        <v>991</v>
      </c>
      <c r="B449" t="s">
        <v>575</v>
      </c>
    </row>
    <row r="450" spans="1:2" x14ac:dyDescent="0.3">
      <c r="A450" t="s">
        <v>996</v>
      </c>
      <c r="B450" t="s">
        <v>638</v>
      </c>
    </row>
    <row r="451" spans="1:2" x14ac:dyDescent="0.3">
      <c r="A451" t="s">
        <v>1001</v>
      </c>
      <c r="B451" t="s">
        <v>539</v>
      </c>
    </row>
    <row r="452" spans="1:2" x14ac:dyDescent="0.3">
      <c r="A452" t="s">
        <v>1011</v>
      </c>
      <c r="B452" t="s">
        <v>638</v>
      </c>
    </row>
    <row r="453" spans="1:2" x14ac:dyDescent="0.3">
      <c r="A453" t="s">
        <v>1018</v>
      </c>
      <c r="B453" t="s">
        <v>549</v>
      </c>
    </row>
    <row r="454" spans="1:2" x14ac:dyDescent="0.3">
      <c r="A454" t="s">
        <v>1028</v>
      </c>
      <c r="B454" t="s">
        <v>1228</v>
      </c>
    </row>
    <row r="455" spans="1:2" x14ac:dyDescent="0.3">
      <c r="A455" t="s">
        <v>1035</v>
      </c>
      <c r="B455" t="s">
        <v>539</v>
      </c>
    </row>
    <row r="456" spans="1:2" x14ac:dyDescent="0.3">
      <c r="A456" t="s">
        <v>1039</v>
      </c>
      <c r="B456" t="s">
        <v>575</v>
      </c>
    </row>
    <row r="457" spans="1:2" x14ac:dyDescent="0.3">
      <c r="A457" t="s">
        <v>1046</v>
      </c>
      <c r="B457" t="s">
        <v>438</v>
      </c>
    </row>
    <row r="458" spans="1:2" x14ac:dyDescent="0.3">
      <c r="A458" t="s">
        <v>1052</v>
      </c>
      <c r="B458" t="s">
        <v>1228</v>
      </c>
    </row>
    <row r="459" spans="1:2" x14ac:dyDescent="0.3">
      <c r="A459" t="s">
        <v>1059</v>
      </c>
      <c r="B459" t="s">
        <v>1086</v>
      </c>
    </row>
    <row r="460" spans="1:2" x14ac:dyDescent="0.3">
      <c r="A460" t="s">
        <v>1064</v>
      </c>
      <c r="B460" t="s">
        <v>1086</v>
      </c>
    </row>
    <row r="461" spans="1:2" x14ac:dyDescent="0.3">
      <c r="A461" t="s">
        <v>1069</v>
      </c>
      <c r="B461" t="s">
        <v>638</v>
      </c>
    </row>
    <row r="462" spans="1:2" x14ac:dyDescent="0.3">
      <c r="A462" t="s">
        <v>1073</v>
      </c>
      <c r="B462" t="s">
        <v>638</v>
      </c>
    </row>
    <row r="463" spans="1:2" x14ac:dyDescent="0.3">
      <c r="A463" t="s">
        <v>1079</v>
      </c>
      <c r="B463" t="s">
        <v>539</v>
      </c>
    </row>
    <row r="464" spans="1:2" x14ac:dyDescent="0.3">
      <c r="A464" t="s">
        <v>1084</v>
      </c>
      <c r="B464" t="s">
        <v>539</v>
      </c>
    </row>
    <row r="465" spans="1:2" x14ac:dyDescent="0.3">
      <c r="A465" t="s">
        <v>1089</v>
      </c>
      <c r="B465" t="s">
        <v>1228</v>
      </c>
    </row>
    <row r="466" spans="1:2" x14ac:dyDescent="0.3">
      <c r="A466" t="s">
        <v>1095</v>
      </c>
      <c r="B466" t="s">
        <v>1228</v>
      </c>
    </row>
    <row r="467" spans="1:2" x14ac:dyDescent="0.3">
      <c r="A467" t="s">
        <v>1101</v>
      </c>
      <c r="B467" t="s">
        <v>539</v>
      </c>
    </row>
    <row r="468" spans="1:2" x14ac:dyDescent="0.3">
      <c r="A468" t="s">
        <v>1106</v>
      </c>
      <c r="B468" t="s">
        <v>1086</v>
      </c>
    </row>
    <row r="469" spans="1:2" x14ac:dyDescent="0.3">
      <c r="A469" t="s">
        <v>1110</v>
      </c>
      <c r="B469" t="s">
        <v>1224</v>
      </c>
    </row>
    <row r="470" spans="1:2" x14ac:dyDescent="0.3">
      <c r="A470" t="s">
        <v>1117</v>
      </c>
      <c r="B470" t="s">
        <v>539</v>
      </c>
    </row>
    <row r="471" spans="1:2" x14ac:dyDescent="0.3">
      <c r="A471" t="s">
        <v>1123</v>
      </c>
      <c r="B471" t="s">
        <v>1228</v>
      </c>
    </row>
    <row r="472" spans="1:2" x14ac:dyDescent="0.3">
      <c r="A472" t="s">
        <v>1127</v>
      </c>
      <c r="B472" t="s">
        <v>1228</v>
      </c>
    </row>
    <row r="473" spans="1:2" x14ac:dyDescent="0.3">
      <c r="A473" t="s">
        <v>1134</v>
      </c>
      <c r="B473" t="s">
        <v>1228</v>
      </c>
    </row>
    <row r="474" spans="1:2" x14ac:dyDescent="0.3">
      <c r="A474" t="s">
        <v>1140</v>
      </c>
      <c r="B474" t="s">
        <v>1225</v>
      </c>
    </row>
    <row r="475" spans="1:2" x14ac:dyDescent="0.3">
      <c r="A475" t="s">
        <v>1144</v>
      </c>
      <c r="B475" t="s">
        <v>1231</v>
      </c>
    </row>
    <row r="476" spans="1:2" x14ac:dyDescent="0.3">
      <c r="A476" t="s">
        <v>1151</v>
      </c>
      <c r="B476" t="s">
        <v>1232</v>
      </c>
    </row>
    <row r="477" spans="1:2" x14ac:dyDescent="0.3">
      <c r="A477" t="s">
        <v>1159</v>
      </c>
      <c r="B477" t="s">
        <v>549</v>
      </c>
    </row>
    <row r="478" spans="1:2" x14ac:dyDescent="0.3">
      <c r="A478" t="s">
        <v>1166</v>
      </c>
      <c r="B478" t="s">
        <v>638</v>
      </c>
    </row>
    <row r="479" spans="1:2" x14ac:dyDescent="0.3">
      <c r="A479" t="s">
        <v>1172</v>
      </c>
      <c r="B479" t="s">
        <v>638</v>
      </c>
    </row>
    <row r="480" spans="1:2" x14ac:dyDescent="0.3">
      <c r="A480" t="s">
        <v>1181</v>
      </c>
      <c r="B480" t="s">
        <v>1224</v>
      </c>
    </row>
    <row r="481" spans="1:2" s="4" customFormat="1" x14ac:dyDescent="0.3">
      <c r="A481" s="4" t="s">
        <v>1203</v>
      </c>
      <c r="B481" s="4" t="s">
        <v>1086</v>
      </c>
    </row>
    <row r="482" spans="1:2" s="4" customFormat="1" x14ac:dyDescent="0.3">
      <c r="A482" s="4" t="s">
        <v>2298</v>
      </c>
      <c r="B482" s="4" t="s">
        <v>1226</v>
      </c>
    </row>
    <row r="483" spans="1:2" s="4" customFormat="1" x14ac:dyDescent="0.3">
      <c r="A483" s="4" t="s">
        <v>2299</v>
      </c>
      <c r="B483" s="4" t="s">
        <v>638</v>
      </c>
    </row>
    <row r="484" spans="1:2" s="4" customFormat="1" x14ac:dyDescent="0.3">
      <c r="A484" s="4" t="s">
        <v>2300</v>
      </c>
      <c r="B484" s="4" t="s">
        <v>1086</v>
      </c>
    </row>
    <row r="485" spans="1:2" s="4" customFormat="1" x14ac:dyDescent="0.3">
      <c r="A485" s="4" t="s">
        <v>2301</v>
      </c>
      <c r="B485" s="4" t="s">
        <v>1086</v>
      </c>
    </row>
    <row r="486" spans="1:2" s="4" customFormat="1" x14ac:dyDescent="0.3">
      <c r="A486" s="4" t="s">
        <v>2302</v>
      </c>
      <c r="B486" s="4" t="s">
        <v>575</v>
      </c>
    </row>
    <row r="487" spans="1:2" s="4" customFormat="1" x14ac:dyDescent="0.3">
      <c r="A487" s="4" t="s">
        <v>2303</v>
      </c>
      <c r="B487" s="4" t="s">
        <v>539</v>
      </c>
    </row>
    <row r="488" spans="1:2" s="4" customFormat="1" x14ac:dyDescent="0.3">
      <c r="A488" s="4" t="s">
        <v>2304</v>
      </c>
      <c r="B488" s="4" t="s">
        <v>52</v>
      </c>
    </row>
    <row r="489" spans="1:2" s="4" customFormat="1" x14ac:dyDescent="0.3">
      <c r="A489" s="4" t="s">
        <v>2305</v>
      </c>
      <c r="B489" s="4" t="s">
        <v>52</v>
      </c>
    </row>
    <row r="490" spans="1:2" s="4" customFormat="1" x14ac:dyDescent="0.3">
      <c r="A490" s="4" t="s">
        <v>2306</v>
      </c>
      <c r="B490" s="4" t="s">
        <v>52</v>
      </c>
    </row>
    <row r="491" spans="1:2" s="4" customFormat="1" x14ac:dyDescent="0.3">
      <c r="A491" s="4" t="s">
        <v>2307</v>
      </c>
      <c r="B491" s="4" t="s">
        <v>52</v>
      </c>
    </row>
    <row r="492" spans="1:2" s="4" customFormat="1" x14ac:dyDescent="0.3">
      <c r="A492" s="4" t="s">
        <v>2308</v>
      </c>
      <c r="B492" s="4" t="s">
        <v>52</v>
      </c>
    </row>
    <row r="493" spans="1:2" s="4" customFormat="1" x14ac:dyDescent="0.3">
      <c r="A493" s="4" t="s">
        <v>2262</v>
      </c>
      <c r="B493" s="4" t="s">
        <v>52</v>
      </c>
    </row>
    <row r="494" spans="1:2" s="4" customFormat="1" x14ac:dyDescent="0.3">
      <c r="A494" s="4" t="s">
        <v>2266</v>
      </c>
      <c r="B494" s="4" t="s">
        <v>52</v>
      </c>
    </row>
    <row r="495" spans="1:2" s="4" customFormat="1" x14ac:dyDescent="0.3">
      <c r="A495" s="4" t="s">
        <v>2271</v>
      </c>
      <c r="B495" s="4" t="s">
        <v>52</v>
      </c>
    </row>
    <row r="496" spans="1:2" s="4" customFormat="1" x14ac:dyDescent="0.3">
      <c r="A496" s="4" t="s">
        <v>2277</v>
      </c>
      <c r="B496" s="4" t="s">
        <v>52</v>
      </c>
    </row>
    <row r="497" spans="1:48" s="4" customFormat="1" x14ac:dyDescent="0.3">
      <c r="A497" s="4" t="s">
        <v>2284</v>
      </c>
      <c r="B497" s="4" t="s">
        <v>52</v>
      </c>
    </row>
    <row r="498" spans="1:48" s="4" customFormat="1" x14ac:dyDescent="0.3">
      <c r="A498" s="4" t="s">
        <v>2290</v>
      </c>
      <c r="B498" s="4" t="s">
        <v>52</v>
      </c>
    </row>
    <row r="499" spans="1:48" s="4" customFormat="1" x14ac:dyDescent="0.3"/>
    <row r="500" spans="1:48" s="4" customFormat="1" x14ac:dyDescent="0.3"/>
    <row r="501" spans="1:48" s="4" customFormat="1" x14ac:dyDescent="0.3"/>
    <row r="502" spans="1:48" s="4" customFormat="1" x14ac:dyDescent="0.3"/>
    <row r="503" spans="1:48" s="4" customFormat="1" x14ac:dyDescent="0.3"/>
    <row r="505" spans="1:48" x14ac:dyDescent="0.3">
      <c r="A505" s="23" t="s">
        <v>1233</v>
      </c>
      <c r="B505" s="24"/>
      <c r="C505" s="24"/>
      <c r="D505" s="24"/>
      <c r="E505" s="24"/>
    </row>
    <row r="506" spans="1:48" x14ac:dyDescent="0.3">
      <c r="B506" t="s">
        <v>5</v>
      </c>
      <c r="C506" t="s">
        <v>5</v>
      </c>
      <c r="D506" t="s">
        <v>5</v>
      </c>
      <c r="E506" t="s">
        <v>5</v>
      </c>
      <c r="F506" t="s">
        <v>5</v>
      </c>
      <c r="G506" t="s">
        <v>5</v>
      </c>
      <c r="H506" t="s">
        <v>6</v>
      </c>
      <c r="I506" t="s">
        <v>7</v>
      </c>
      <c r="J506" t="s">
        <v>7</v>
      </c>
      <c r="K506" t="s">
        <v>7</v>
      </c>
      <c r="L506" t="s">
        <v>7</v>
      </c>
      <c r="O506" t="s">
        <v>8</v>
      </c>
      <c r="P506" t="s">
        <v>8</v>
      </c>
      <c r="Q506" t="s">
        <v>8</v>
      </c>
      <c r="R506" t="s">
        <v>9</v>
      </c>
      <c r="S506" t="s">
        <v>9</v>
      </c>
      <c r="T506" t="s">
        <v>10</v>
      </c>
      <c r="U506" t="s">
        <v>10</v>
      </c>
      <c r="V506" t="s">
        <v>10</v>
      </c>
      <c r="W506" t="s">
        <v>10</v>
      </c>
      <c r="X506" t="s">
        <v>10</v>
      </c>
      <c r="Y506" t="s">
        <v>10</v>
      </c>
      <c r="Z506" t="s">
        <v>10</v>
      </c>
      <c r="AA506" t="s">
        <v>10</v>
      </c>
      <c r="AB506" t="s">
        <v>10</v>
      </c>
      <c r="AC506" t="s">
        <v>10</v>
      </c>
      <c r="AD506" t="s">
        <v>10</v>
      </c>
      <c r="AE506" t="s">
        <v>10</v>
      </c>
      <c r="AF506" t="s">
        <v>11</v>
      </c>
      <c r="AG506" t="s">
        <v>11</v>
      </c>
      <c r="AK506" t="s">
        <v>12</v>
      </c>
      <c r="AL506" t="s">
        <v>13</v>
      </c>
      <c r="AM506" t="s">
        <v>13</v>
      </c>
      <c r="AN506" t="s">
        <v>13</v>
      </c>
      <c r="AO506" t="s">
        <v>13</v>
      </c>
      <c r="AP506" t="s">
        <v>13</v>
      </c>
      <c r="AQ506" t="s">
        <v>13</v>
      </c>
      <c r="AR506" t="s">
        <v>14</v>
      </c>
      <c r="AS506" t="s">
        <v>14</v>
      </c>
      <c r="AT506" t="s">
        <v>14</v>
      </c>
      <c r="AU506" t="s">
        <v>15</v>
      </c>
      <c r="AV506" t="s">
        <v>15</v>
      </c>
    </row>
    <row r="507" spans="1:48" x14ac:dyDescent="0.3">
      <c r="B507" t="s">
        <v>16</v>
      </c>
      <c r="C507" t="s">
        <v>16</v>
      </c>
      <c r="D507" t="s">
        <v>17</v>
      </c>
      <c r="E507" t="s">
        <v>17</v>
      </c>
      <c r="F507" t="s">
        <v>18</v>
      </c>
      <c r="G507" t="s">
        <v>18</v>
      </c>
      <c r="H507" t="s">
        <v>19</v>
      </c>
      <c r="I507" t="s">
        <v>20</v>
      </c>
      <c r="J507" t="s">
        <v>20</v>
      </c>
      <c r="K507" t="s">
        <v>21</v>
      </c>
      <c r="L507" t="s">
        <v>21</v>
      </c>
      <c r="O507" t="s">
        <v>22</v>
      </c>
      <c r="P507" t="s">
        <v>23</v>
      </c>
      <c r="Q507" t="s">
        <v>24</v>
      </c>
      <c r="R507" t="s">
        <v>25</v>
      </c>
      <c r="S507" t="s">
        <v>25</v>
      </c>
      <c r="T507" t="s">
        <v>26</v>
      </c>
      <c r="U507" t="s">
        <v>26</v>
      </c>
      <c r="V507" t="s">
        <v>27</v>
      </c>
      <c r="W507" t="s">
        <v>27</v>
      </c>
      <c r="X507" t="s">
        <v>27</v>
      </c>
      <c r="Y507" t="s">
        <v>27</v>
      </c>
      <c r="Z507" t="s">
        <v>28</v>
      </c>
      <c r="AA507" t="s">
        <v>28</v>
      </c>
      <c r="AB507" t="s">
        <v>29</v>
      </c>
      <c r="AC507" t="s">
        <v>29</v>
      </c>
      <c r="AD507" t="s">
        <v>30</v>
      </c>
      <c r="AE507" t="s">
        <v>30</v>
      </c>
      <c r="AF507" t="s">
        <v>31</v>
      </c>
      <c r="AG507" t="s">
        <v>32</v>
      </c>
      <c r="AK507" t="s">
        <v>19</v>
      </c>
      <c r="AL507" t="s">
        <v>17</v>
      </c>
      <c r="AM507" t="s">
        <v>17</v>
      </c>
      <c r="AN507" t="s">
        <v>33</v>
      </c>
      <c r="AO507" t="s">
        <v>33</v>
      </c>
      <c r="AP507" t="s">
        <v>34</v>
      </c>
      <c r="AQ507" t="s">
        <v>34</v>
      </c>
      <c r="AR507" t="s">
        <v>35</v>
      </c>
      <c r="AS507" t="s">
        <v>36</v>
      </c>
      <c r="AT507" t="s">
        <v>36</v>
      </c>
      <c r="AU507" t="s">
        <v>37</v>
      </c>
      <c r="AV507" t="s">
        <v>38</v>
      </c>
    </row>
    <row r="508" spans="1:48" x14ac:dyDescent="0.3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40</v>
      </c>
      <c r="G508" t="s">
        <v>41</v>
      </c>
      <c r="H508" t="s">
        <v>41</v>
      </c>
      <c r="I508" t="s">
        <v>40</v>
      </c>
      <c r="J508" t="s">
        <v>44</v>
      </c>
      <c r="K508" t="s">
        <v>42</v>
      </c>
      <c r="L508" t="s">
        <v>45</v>
      </c>
      <c r="O508" t="s">
        <v>41</v>
      </c>
      <c r="P508" t="s">
        <v>41</v>
      </c>
      <c r="Q508" t="s">
        <v>45</v>
      </c>
      <c r="R508" t="s">
        <v>40</v>
      </c>
      <c r="S508" t="s">
        <v>45</v>
      </c>
      <c r="T508" t="s">
        <v>40</v>
      </c>
      <c r="U508" t="s">
        <v>41</v>
      </c>
      <c r="V508" t="s">
        <v>40</v>
      </c>
      <c r="W508" t="s">
        <v>42</v>
      </c>
      <c r="X508" t="s">
        <v>41</v>
      </c>
      <c r="Y508" t="s">
        <v>43</v>
      </c>
      <c r="Z508" t="s">
        <v>40</v>
      </c>
      <c r="AA508" t="s">
        <v>41</v>
      </c>
      <c r="AB508" t="s">
        <v>42</v>
      </c>
      <c r="AC508" t="s">
        <v>43</v>
      </c>
      <c r="AD508" t="s">
        <v>40</v>
      </c>
      <c r="AE508" t="s">
        <v>41</v>
      </c>
      <c r="AF508" t="s">
        <v>46</v>
      </c>
      <c r="AG508" t="s">
        <v>46</v>
      </c>
      <c r="AK508" t="s">
        <v>41</v>
      </c>
      <c r="AL508" t="s">
        <v>40</v>
      </c>
      <c r="AM508" t="s">
        <v>41</v>
      </c>
      <c r="AN508" t="s">
        <v>42</v>
      </c>
      <c r="AO508" t="s">
        <v>43</v>
      </c>
      <c r="AP508" t="s">
        <v>40</v>
      </c>
      <c r="AQ508" t="s">
        <v>41</v>
      </c>
      <c r="AR508" t="s">
        <v>41</v>
      </c>
      <c r="AS508" t="s">
        <v>45</v>
      </c>
      <c r="AT508" t="s">
        <v>41</v>
      </c>
      <c r="AU508" t="s">
        <v>46</v>
      </c>
      <c r="AV508" t="s">
        <v>47</v>
      </c>
    </row>
    <row r="509" spans="1:48" x14ac:dyDescent="0.3">
      <c r="A509" t="s">
        <v>48</v>
      </c>
      <c r="B509" t="s">
        <v>1234</v>
      </c>
      <c r="D509" t="s">
        <v>1234</v>
      </c>
      <c r="F509" t="s">
        <v>1234</v>
      </c>
      <c r="O509" t="s">
        <v>1234</v>
      </c>
      <c r="P509" t="s">
        <v>1234</v>
      </c>
      <c r="Q509" t="s">
        <v>1234</v>
      </c>
      <c r="R509" t="s">
        <v>1234</v>
      </c>
      <c r="S509" t="s">
        <v>1234</v>
      </c>
      <c r="V509" t="s">
        <v>1234</v>
      </c>
      <c r="AB509" t="s">
        <v>1234</v>
      </c>
      <c r="AD509" t="s">
        <v>1234</v>
      </c>
      <c r="AF509" t="s">
        <v>1234</v>
      </c>
      <c r="AL509" t="s">
        <v>1234</v>
      </c>
      <c r="AN509" t="s">
        <v>1234</v>
      </c>
      <c r="AP509" t="s">
        <v>1234</v>
      </c>
      <c r="AU509" t="s">
        <v>1234</v>
      </c>
      <c r="AV509" t="s">
        <v>1234</v>
      </c>
    </row>
    <row r="510" spans="1:48" x14ac:dyDescent="0.3">
      <c r="A510" t="s">
        <v>61</v>
      </c>
      <c r="B510" t="s">
        <v>1234</v>
      </c>
      <c r="D510" t="s">
        <v>1234</v>
      </c>
      <c r="F510" t="s">
        <v>1234</v>
      </c>
      <c r="O510" t="s">
        <v>1234</v>
      </c>
      <c r="P510" t="s">
        <v>1234</v>
      </c>
      <c r="Q510" t="s">
        <v>1234</v>
      </c>
      <c r="R510" t="s">
        <v>1234</v>
      </c>
      <c r="S510" t="s">
        <v>1234</v>
      </c>
      <c r="V510" t="s">
        <v>1234</v>
      </c>
      <c r="AB510" t="s">
        <v>1234</v>
      </c>
      <c r="AD510" t="s">
        <v>1234</v>
      </c>
      <c r="AF510" t="s">
        <v>1234</v>
      </c>
      <c r="AL510" t="s">
        <v>1234</v>
      </c>
      <c r="AN510" t="s">
        <v>1234</v>
      </c>
      <c r="AP510" t="s">
        <v>1234</v>
      </c>
      <c r="AU510" t="s">
        <v>1234</v>
      </c>
      <c r="AV510" t="s">
        <v>1234</v>
      </c>
    </row>
    <row r="511" spans="1:48" x14ac:dyDescent="0.3">
      <c r="A511" t="s">
        <v>72</v>
      </c>
      <c r="B511" t="s">
        <v>1234</v>
      </c>
      <c r="D511" t="s">
        <v>1234</v>
      </c>
      <c r="F511" t="s">
        <v>1234</v>
      </c>
      <c r="O511" t="s">
        <v>1234</v>
      </c>
      <c r="P511" t="s">
        <v>1234</v>
      </c>
      <c r="Q511" t="s">
        <v>1234</v>
      </c>
      <c r="R511" t="s">
        <v>1234</v>
      </c>
      <c r="S511" t="s">
        <v>1234</v>
      </c>
      <c r="V511" t="s">
        <v>1234</v>
      </c>
      <c r="AB511" t="s">
        <v>1234</v>
      </c>
      <c r="AD511" t="s">
        <v>1234</v>
      </c>
      <c r="AF511" t="s">
        <v>1234</v>
      </c>
      <c r="AL511" t="s">
        <v>1234</v>
      </c>
      <c r="AN511" t="s">
        <v>1234</v>
      </c>
      <c r="AP511" t="s">
        <v>1234</v>
      </c>
      <c r="AU511" t="s">
        <v>1234</v>
      </c>
      <c r="AV511" t="s">
        <v>1234</v>
      </c>
    </row>
    <row r="512" spans="1:48" x14ac:dyDescent="0.3">
      <c r="A512" t="s">
        <v>83</v>
      </c>
      <c r="B512" t="s">
        <v>1234</v>
      </c>
      <c r="D512" t="s">
        <v>1234</v>
      </c>
      <c r="F512" t="s">
        <v>1234</v>
      </c>
      <c r="O512" t="s">
        <v>1234</v>
      </c>
      <c r="P512" t="s">
        <v>1234</v>
      </c>
      <c r="Q512" t="s">
        <v>1234</v>
      </c>
      <c r="R512" t="s">
        <v>1234</v>
      </c>
      <c r="S512" t="s">
        <v>1234</v>
      </c>
      <c r="T512" t="s">
        <v>1234</v>
      </c>
      <c r="W512" t="s">
        <v>1234</v>
      </c>
      <c r="Z512" t="s">
        <v>1234</v>
      </c>
      <c r="AG512" t="s">
        <v>1234</v>
      </c>
      <c r="AL512" t="s">
        <v>1234</v>
      </c>
      <c r="AN512" t="s">
        <v>1234</v>
      </c>
      <c r="AP512" t="s">
        <v>1234</v>
      </c>
      <c r="AU512" t="s">
        <v>1234</v>
      </c>
      <c r="AV512" t="s">
        <v>1234</v>
      </c>
    </row>
    <row r="513" spans="1:48" x14ac:dyDescent="0.3">
      <c r="A513" t="s">
        <v>95</v>
      </c>
      <c r="B513" t="s">
        <v>1234</v>
      </c>
      <c r="D513" t="s">
        <v>1234</v>
      </c>
      <c r="F513" t="s">
        <v>1234</v>
      </c>
      <c r="I513" t="s">
        <v>1234</v>
      </c>
      <c r="K513" t="s">
        <v>1234</v>
      </c>
      <c r="O513" t="s">
        <v>1234</v>
      </c>
      <c r="P513" t="s">
        <v>1234</v>
      </c>
      <c r="Q513" t="s">
        <v>1234</v>
      </c>
      <c r="R513" t="s">
        <v>1234</v>
      </c>
      <c r="S513" t="s">
        <v>1234</v>
      </c>
      <c r="T513" t="s">
        <v>1234</v>
      </c>
      <c r="W513" t="s">
        <v>1234</v>
      </c>
      <c r="Z513" t="s">
        <v>1234</v>
      </c>
      <c r="AG513" t="s">
        <v>1234</v>
      </c>
      <c r="AL513" t="s">
        <v>1234</v>
      </c>
      <c r="AN513" t="s">
        <v>1234</v>
      </c>
      <c r="AP513" t="s">
        <v>1234</v>
      </c>
      <c r="AU513" t="s">
        <v>1234</v>
      </c>
      <c r="AV513" t="s">
        <v>1234</v>
      </c>
    </row>
    <row r="514" spans="1:48" x14ac:dyDescent="0.3">
      <c r="A514" t="s">
        <v>109</v>
      </c>
      <c r="B514" t="s">
        <v>1234</v>
      </c>
      <c r="D514" t="s">
        <v>1234</v>
      </c>
      <c r="F514" t="s">
        <v>1234</v>
      </c>
      <c r="I514" t="s">
        <v>1234</v>
      </c>
      <c r="K514" t="s">
        <v>1234</v>
      </c>
      <c r="O514" t="s">
        <v>1234</v>
      </c>
      <c r="P514" t="s">
        <v>1234</v>
      </c>
      <c r="Q514" t="s">
        <v>1234</v>
      </c>
      <c r="R514" t="s">
        <v>1234</v>
      </c>
      <c r="S514" t="s">
        <v>1234</v>
      </c>
      <c r="T514" t="s">
        <v>1234</v>
      </c>
      <c r="W514" t="s">
        <v>1234</v>
      </c>
      <c r="Z514" t="s">
        <v>1234</v>
      </c>
      <c r="AG514" t="s">
        <v>1234</v>
      </c>
      <c r="AL514" t="s">
        <v>1234</v>
      </c>
      <c r="AN514" t="s">
        <v>1234</v>
      </c>
      <c r="AP514" t="s">
        <v>1234</v>
      </c>
      <c r="AU514" t="s">
        <v>1234</v>
      </c>
      <c r="AV514" t="s">
        <v>1234</v>
      </c>
    </row>
    <row r="515" spans="1:48" x14ac:dyDescent="0.3">
      <c r="A515" t="s">
        <v>122</v>
      </c>
      <c r="B515" t="s">
        <v>1234</v>
      </c>
      <c r="D515" t="s">
        <v>1234</v>
      </c>
      <c r="F515" t="s">
        <v>1234</v>
      </c>
      <c r="I515" t="s">
        <v>1234</v>
      </c>
      <c r="K515" t="s">
        <v>1234</v>
      </c>
      <c r="O515" t="s">
        <v>1234</v>
      </c>
      <c r="P515" t="s">
        <v>1234</v>
      </c>
      <c r="Q515" t="s">
        <v>1234</v>
      </c>
      <c r="R515" t="s">
        <v>1234</v>
      </c>
      <c r="S515" t="s">
        <v>1234</v>
      </c>
      <c r="T515" t="s">
        <v>1234</v>
      </c>
      <c r="W515" t="s">
        <v>1234</v>
      </c>
      <c r="Z515" t="s">
        <v>1234</v>
      </c>
      <c r="AG515" t="s">
        <v>1234</v>
      </c>
      <c r="AL515" t="s">
        <v>1234</v>
      </c>
      <c r="AN515" t="s">
        <v>1234</v>
      </c>
      <c r="AP515" t="s">
        <v>1234</v>
      </c>
      <c r="AU515" t="s">
        <v>1234</v>
      </c>
      <c r="AV515" t="s">
        <v>1234</v>
      </c>
    </row>
    <row r="516" spans="1:48" x14ac:dyDescent="0.3">
      <c r="A516" t="s">
        <v>135</v>
      </c>
      <c r="B516" t="s">
        <v>1234</v>
      </c>
      <c r="D516" t="s">
        <v>1234</v>
      </c>
      <c r="F516" t="s">
        <v>1234</v>
      </c>
      <c r="I516" t="s">
        <v>1234</v>
      </c>
      <c r="K516" t="s">
        <v>1234</v>
      </c>
      <c r="O516" t="s">
        <v>1234</v>
      </c>
      <c r="P516" t="s">
        <v>1234</v>
      </c>
      <c r="Q516" t="s">
        <v>1234</v>
      </c>
      <c r="R516" t="s">
        <v>1234</v>
      </c>
      <c r="S516" t="s">
        <v>1234</v>
      </c>
      <c r="T516" t="s">
        <v>1234</v>
      </c>
      <c r="W516" t="s">
        <v>1234</v>
      </c>
      <c r="Z516" t="s">
        <v>1234</v>
      </c>
      <c r="AG516" t="s">
        <v>1234</v>
      </c>
      <c r="AL516" t="s">
        <v>1234</v>
      </c>
      <c r="AN516" t="s">
        <v>1234</v>
      </c>
      <c r="AP516" t="s">
        <v>1234</v>
      </c>
      <c r="AU516" t="s">
        <v>1234</v>
      </c>
      <c r="AV516" t="s">
        <v>1234</v>
      </c>
    </row>
    <row r="517" spans="1:48" x14ac:dyDescent="0.3">
      <c r="A517" t="s">
        <v>148</v>
      </c>
      <c r="B517" t="s">
        <v>1234</v>
      </c>
      <c r="D517" t="s">
        <v>1234</v>
      </c>
      <c r="F517" t="s">
        <v>1234</v>
      </c>
      <c r="I517" t="s">
        <v>1234</v>
      </c>
      <c r="K517" t="s">
        <v>1234</v>
      </c>
      <c r="O517" t="s">
        <v>1234</v>
      </c>
      <c r="P517" t="s">
        <v>1234</v>
      </c>
      <c r="Q517" t="s">
        <v>1234</v>
      </c>
      <c r="R517" t="s">
        <v>1234</v>
      </c>
      <c r="S517" t="s">
        <v>1234</v>
      </c>
      <c r="T517" t="s">
        <v>1234</v>
      </c>
      <c r="W517" t="s">
        <v>1234</v>
      </c>
      <c r="Z517" t="s">
        <v>1234</v>
      </c>
      <c r="AG517" t="s">
        <v>1234</v>
      </c>
      <c r="AL517" t="s">
        <v>1234</v>
      </c>
      <c r="AN517" t="s">
        <v>1234</v>
      </c>
      <c r="AP517" t="s">
        <v>1234</v>
      </c>
      <c r="AU517" t="s">
        <v>1234</v>
      </c>
      <c r="AV517" t="s">
        <v>1234</v>
      </c>
    </row>
    <row r="518" spans="1:48" x14ac:dyDescent="0.3">
      <c r="A518" t="s">
        <v>159</v>
      </c>
      <c r="B518" t="s">
        <v>1234</v>
      </c>
      <c r="D518" t="s">
        <v>1234</v>
      </c>
      <c r="F518" t="s">
        <v>1234</v>
      </c>
      <c r="O518" t="s">
        <v>1234</v>
      </c>
      <c r="P518" t="s">
        <v>1234</v>
      </c>
      <c r="Q518" t="s">
        <v>1234</v>
      </c>
      <c r="R518" t="s">
        <v>1234</v>
      </c>
      <c r="S518" t="s">
        <v>1234</v>
      </c>
      <c r="T518" t="s">
        <v>1234</v>
      </c>
      <c r="W518" t="s">
        <v>1234</v>
      </c>
      <c r="Z518" t="s">
        <v>1234</v>
      </c>
      <c r="AG518" t="s">
        <v>1234</v>
      </c>
      <c r="AL518" t="s">
        <v>1234</v>
      </c>
      <c r="AN518" t="s">
        <v>1234</v>
      </c>
      <c r="AP518" t="s">
        <v>1234</v>
      </c>
      <c r="AU518" t="s">
        <v>1234</v>
      </c>
      <c r="AV518" t="s">
        <v>1234</v>
      </c>
    </row>
    <row r="519" spans="1:48" x14ac:dyDescent="0.3">
      <c r="A519" t="s">
        <v>166</v>
      </c>
      <c r="B519" t="s">
        <v>1234</v>
      </c>
      <c r="D519" t="s">
        <v>1234</v>
      </c>
      <c r="F519" t="s">
        <v>1234</v>
      </c>
      <c r="O519" t="s">
        <v>1234</v>
      </c>
      <c r="P519" t="s">
        <v>1234</v>
      </c>
      <c r="Q519" t="s">
        <v>1234</v>
      </c>
      <c r="R519" t="s">
        <v>1234</v>
      </c>
      <c r="S519" t="s">
        <v>1234</v>
      </c>
      <c r="V519" t="s">
        <v>1234</v>
      </c>
      <c r="AB519" t="s">
        <v>1234</v>
      </c>
      <c r="AD519" t="s">
        <v>1234</v>
      </c>
      <c r="AF519" t="s">
        <v>1234</v>
      </c>
      <c r="AL519" t="s">
        <v>1234</v>
      </c>
      <c r="AN519" t="s">
        <v>1234</v>
      </c>
      <c r="AP519" t="s">
        <v>1234</v>
      </c>
      <c r="AU519" t="s">
        <v>1234</v>
      </c>
      <c r="AV519" t="s">
        <v>1234</v>
      </c>
    </row>
    <row r="520" spans="1:48" x14ac:dyDescent="0.3">
      <c r="A520" t="s">
        <v>176</v>
      </c>
      <c r="B520" t="s">
        <v>1234</v>
      </c>
      <c r="D520" t="s">
        <v>1234</v>
      </c>
      <c r="F520" t="s">
        <v>1234</v>
      </c>
      <c r="O520" t="s">
        <v>1234</v>
      </c>
      <c r="P520" t="s">
        <v>1234</v>
      </c>
      <c r="Q520" t="s">
        <v>1234</v>
      </c>
      <c r="R520" t="s">
        <v>1234</v>
      </c>
      <c r="S520" t="s">
        <v>1234</v>
      </c>
      <c r="V520" t="s">
        <v>1234</v>
      </c>
      <c r="AB520" t="s">
        <v>1234</v>
      </c>
      <c r="AD520" t="s">
        <v>1234</v>
      </c>
      <c r="AF520" t="s">
        <v>1234</v>
      </c>
      <c r="AL520" t="s">
        <v>1234</v>
      </c>
      <c r="AN520" t="s">
        <v>1234</v>
      </c>
      <c r="AP520" t="s">
        <v>1234</v>
      </c>
      <c r="AU520" t="s">
        <v>1234</v>
      </c>
      <c r="AV520" t="s">
        <v>1234</v>
      </c>
    </row>
    <row r="521" spans="1:48" x14ac:dyDescent="0.3">
      <c r="A521" t="s">
        <v>185</v>
      </c>
      <c r="B521" t="s">
        <v>1234</v>
      </c>
      <c r="D521" t="s">
        <v>1234</v>
      </c>
      <c r="F521" t="s">
        <v>1234</v>
      </c>
      <c r="O521" t="s">
        <v>1234</v>
      </c>
      <c r="P521" t="s">
        <v>1234</v>
      </c>
      <c r="Q521" t="s">
        <v>1234</v>
      </c>
      <c r="R521" t="s">
        <v>1234</v>
      </c>
      <c r="S521" t="s">
        <v>1234</v>
      </c>
      <c r="V521" t="s">
        <v>1234</v>
      </c>
      <c r="AB521" t="s">
        <v>1234</v>
      </c>
      <c r="AD521" t="s">
        <v>1234</v>
      </c>
      <c r="AF521" t="s">
        <v>1234</v>
      </c>
      <c r="AL521" t="s">
        <v>1234</v>
      </c>
      <c r="AN521" t="s">
        <v>1234</v>
      </c>
      <c r="AP521" t="s">
        <v>1234</v>
      </c>
      <c r="AU521" t="s">
        <v>1234</v>
      </c>
      <c r="AV521" t="s">
        <v>1234</v>
      </c>
    </row>
    <row r="522" spans="1:48" x14ac:dyDescent="0.3">
      <c r="A522" t="s">
        <v>192</v>
      </c>
      <c r="B522" t="s">
        <v>1234</v>
      </c>
      <c r="D522" t="s">
        <v>1234</v>
      </c>
      <c r="F522" t="s">
        <v>1234</v>
      </c>
      <c r="O522" t="s">
        <v>1234</v>
      </c>
      <c r="P522" t="s">
        <v>1234</v>
      </c>
      <c r="Q522" t="s">
        <v>1234</v>
      </c>
      <c r="R522" t="s">
        <v>1234</v>
      </c>
      <c r="S522" t="s">
        <v>1234</v>
      </c>
      <c r="V522" t="s">
        <v>1234</v>
      </c>
      <c r="AB522" t="s">
        <v>1234</v>
      </c>
      <c r="AD522" t="s">
        <v>1234</v>
      </c>
      <c r="AF522" t="s">
        <v>1234</v>
      </c>
      <c r="AL522" t="s">
        <v>1234</v>
      </c>
      <c r="AN522" t="s">
        <v>1234</v>
      </c>
      <c r="AP522" t="s">
        <v>1234</v>
      </c>
      <c r="AU522" t="s">
        <v>1234</v>
      </c>
      <c r="AV522" t="s">
        <v>1234</v>
      </c>
    </row>
    <row r="523" spans="1:48" x14ac:dyDescent="0.3">
      <c r="A523" t="s">
        <v>200</v>
      </c>
      <c r="B523" t="s">
        <v>1234</v>
      </c>
      <c r="D523" t="s">
        <v>1234</v>
      </c>
      <c r="F523" t="s">
        <v>1234</v>
      </c>
      <c r="O523" t="s">
        <v>1234</v>
      </c>
      <c r="P523" t="s">
        <v>1234</v>
      </c>
      <c r="Q523" t="s">
        <v>1234</v>
      </c>
      <c r="R523" t="s">
        <v>1234</v>
      </c>
      <c r="S523" t="s">
        <v>1234</v>
      </c>
      <c r="V523" t="s">
        <v>1234</v>
      </c>
      <c r="AB523" t="s">
        <v>1234</v>
      </c>
      <c r="AD523" t="s">
        <v>1234</v>
      </c>
      <c r="AF523" t="s">
        <v>1234</v>
      </c>
      <c r="AL523" t="s">
        <v>1234</v>
      </c>
      <c r="AN523" t="s">
        <v>1234</v>
      </c>
      <c r="AP523" t="s">
        <v>1234</v>
      </c>
      <c r="AU523" t="s">
        <v>1234</v>
      </c>
      <c r="AV523" t="s">
        <v>1234</v>
      </c>
    </row>
    <row r="524" spans="1:48" x14ac:dyDescent="0.3">
      <c r="A524" t="s">
        <v>209</v>
      </c>
      <c r="B524" t="s">
        <v>1234</v>
      </c>
      <c r="D524" t="s">
        <v>1234</v>
      </c>
      <c r="F524" t="s">
        <v>1234</v>
      </c>
      <c r="O524" t="s">
        <v>1234</v>
      </c>
      <c r="P524" t="s">
        <v>1234</v>
      </c>
      <c r="Q524" t="s">
        <v>1234</v>
      </c>
      <c r="R524" t="s">
        <v>1234</v>
      </c>
      <c r="S524" t="s">
        <v>1234</v>
      </c>
      <c r="T524" t="s">
        <v>1234</v>
      </c>
      <c r="W524" t="s">
        <v>1234</v>
      </c>
      <c r="Z524" t="s">
        <v>1234</v>
      </c>
      <c r="AG524" t="s">
        <v>1234</v>
      </c>
      <c r="AL524" t="s">
        <v>1234</v>
      </c>
      <c r="AN524" t="s">
        <v>1234</v>
      </c>
      <c r="AP524" t="s">
        <v>1234</v>
      </c>
      <c r="AU524" t="s">
        <v>1234</v>
      </c>
      <c r="AV524" t="s">
        <v>1234</v>
      </c>
    </row>
    <row r="525" spans="1:48" x14ac:dyDescent="0.3">
      <c r="A525" t="s">
        <v>217</v>
      </c>
      <c r="B525" t="s">
        <v>1234</v>
      </c>
      <c r="D525" t="s">
        <v>1234</v>
      </c>
      <c r="F525" t="s">
        <v>1234</v>
      </c>
      <c r="I525" t="s">
        <v>1234</v>
      </c>
      <c r="K525" t="s">
        <v>1234</v>
      </c>
      <c r="O525" t="s">
        <v>1234</v>
      </c>
      <c r="P525" t="s">
        <v>1234</v>
      </c>
      <c r="Q525" t="s">
        <v>1234</v>
      </c>
      <c r="R525" t="s">
        <v>1234</v>
      </c>
      <c r="S525" t="s">
        <v>1234</v>
      </c>
      <c r="T525" t="s">
        <v>1234</v>
      </c>
      <c r="W525" t="s">
        <v>1234</v>
      </c>
      <c r="Z525" t="s">
        <v>1234</v>
      </c>
      <c r="AG525" t="s">
        <v>1234</v>
      </c>
      <c r="AL525" t="s">
        <v>1234</v>
      </c>
      <c r="AN525" t="s">
        <v>1234</v>
      </c>
      <c r="AP525" t="s">
        <v>1234</v>
      </c>
      <c r="AU525" t="s">
        <v>1234</v>
      </c>
      <c r="AV525" t="s">
        <v>1234</v>
      </c>
    </row>
    <row r="526" spans="1:48" x14ac:dyDescent="0.3">
      <c r="A526" t="s">
        <v>227</v>
      </c>
      <c r="B526" t="s">
        <v>1234</v>
      </c>
      <c r="D526" t="s">
        <v>1234</v>
      </c>
      <c r="F526" t="s">
        <v>1234</v>
      </c>
      <c r="I526" t="s">
        <v>1234</v>
      </c>
      <c r="K526" t="s">
        <v>1234</v>
      </c>
      <c r="O526" t="s">
        <v>1234</v>
      </c>
      <c r="P526" t="s">
        <v>1234</v>
      </c>
      <c r="Q526" t="s">
        <v>1234</v>
      </c>
      <c r="R526" t="s">
        <v>1234</v>
      </c>
      <c r="S526" t="s">
        <v>1234</v>
      </c>
      <c r="T526" t="s">
        <v>1234</v>
      </c>
      <c r="W526" t="s">
        <v>1234</v>
      </c>
      <c r="Z526" t="s">
        <v>1234</v>
      </c>
      <c r="AG526" t="s">
        <v>1234</v>
      </c>
      <c r="AL526" t="s">
        <v>1234</v>
      </c>
      <c r="AN526" t="s">
        <v>1234</v>
      </c>
      <c r="AP526" t="s">
        <v>1234</v>
      </c>
      <c r="AU526" t="s">
        <v>1234</v>
      </c>
      <c r="AV526" t="s">
        <v>1234</v>
      </c>
    </row>
    <row r="527" spans="1:48" x14ac:dyDescent="0.3">
      <c r="A527" t="s">
        <v>238</v>
      </c>
      <c r="B527" t="s">
        <v>1234</v>
      </c>
      <c r="D527" t="s">
        <v>1234</v>
      </c>
      <c r="F527" t="s">
        <v>1234</v>
      </c>
      <c r="I527" t="s">
        <v>1234</v>
      </c>
      <c r="K527" t="s">
        <v>1234</v>
      </c>
      <c r="O527" t="s">
        <v>1234</v>
      </c>
      <c r="P527" t="s">
        <v>1234</v>
      </c>
      <c r="Q527" t="s">
        <v>1234</v>
      </c>
      <c r="R527" t="s">
        <v>1234</v>
      </c>
      <c r="S527" t="s">
        <v>1234</v>
      </c>
      <c r="T527" t="s">
        <v>1234</v>
      </c>
      <c r="W527" t="s">
        <v>1234</v>
      </c>
      <c r="Z527" t="s">
        <v>1234</v>
      </c>
      <c r="AG527" t="s">
        <v>1234</v>
      </c>
      <c r="AL527" t="s">
        <v>1234</v>
      </c>
      <c r="AN527" t="s">
        <v>1234</v>
      </c>
      <c r="AP527" t="s">
        <v>1234</v>
      </c>
      <c r="AU527" t="s">
        <v>1234</v>
      </c>
      <c r="AV527" t="s">
        <v>1234</v>
      </c>
    </row>
    <row r="528" spans="1:48" x14ac:dyDescent="0.3">
      <c r="A528" t="s">
        <v>250</v>
      </c>
      <c r="B528" t="s">
        <v>1234</v>
      </c>
      <c r="D528" t="s">
        <v>1234</v>
      </c>
      <c r="F528" t="s">
        <v>1234</v>
      </c>
      <c r="I528" t="s">
        <v>1234</v>
      </c>
      <c r="K528" t="s">
        <v>1234</v>
      </c>
      <c r="O528" t="s">
        <v>1234</v>
      </c>
      <c r="P528" t="s">
        <v>1234</v>
      </c>
      <c r="Q528" t="s">
        <v>1234</v>
      </c>
      <c r="R528" t="s">
        <v>1234</v>
      </c>
      <c r="S528" t="s">
        <v>1234</v>
      </c>
      <c r="T528" t="s">
        <v>1234</v>
      </c>
      <c r="W528" t="s">
        <v>1234</v>
      </c>
      <c r="Z528" t="s">
        <v>1234</v>
      </c>
      <c r="AG528" t="s">
        <v>1234</v>
      </c>
      <c r="AL528" t="s">
        <v>1234</v>
      </c>
      <c r="AN528" t="s">
        <v>1234</v>
      </c>
      <c r="AP528" t="s">
        <v>1234</v>
      </c>
      <c r="AU528" t="s">
        <v>1234</v>
      </c>
      <c r="AV528" t="s">
        <v>1234</v>
      </c>
    </row>
    <row r="529" spans="1:48" x14ac:dyDescent="0.3">
      <c r="A529" t="s">
        <v>262</v>
      </c>
      <c r="B529" t="s">
        <v>1234</v>
      </c>
      <c r="D529" t="s">
        <v>1234</v>
      </c>
      <c r="F529" t="s">
        <v>1234</v>
      </c>
      <c r="I529" t="s">
        <v>1234</v>
      </c>
      <c r="K529" t="s">
        <v>1234</v>
      </c>
      <c r="O529" t="s">
        <v>1234</v>
      </c>
      <c r="P529" t="s">
        <v>1234</v>
      </c>
      <c r="Q529" t="s">
        <v>1234</v>
      </c>
      <c r="R529" t="s">
        <v>1234</v>
      </c>
      <c r="S529" t="s">
        <v>1234</v>
      </c>
      <c r="T529" t="s">
        <v>1234</v>
      </c>
      <c r="W529" t="s">
        <v>1234</v>
      </c>
      <c r="Z529" t="s">
        <v>1234</v>
      </c>
      <c r="AG529" t="s">
        <v>1234</v>
      </c>
      <c r="AL529" t="s">
        <v>1234</v>
      </c>
      <c r="AN529" t="s">
        <v>1234</v>
      </c>
      <c r="AP529" t="s">
        <v>1234</v>
      </c>
      <c r="AU529" t="s">
        <v>1234</v>
      </c>
      <c r="AV529" t="s">
        <v>1234</v>
      </c>
    </row>
    <row r="530" spans="1:48" x14ac:dyDescent="0.3">
      <c r="A530" t="s">
        <v>275</v>
      </c>
      <c r="B530" t="s">
        <v>1234</v>
      </c>
      <c r="D530" t="s">
        <v>1234</v>
      </c>
      <c r="F530" t="s">
        <v>1234</v>
      </c>
      <c r="O530" t="s">
        <v>1234</v>
      </c>
      <c r="P530" t="s">
        <v>1234</v>
      </c>
      <c r="Q530" t="s">
        <v>1234</v>
      </c>
      <c r="R530" t="s">
        <v>1234</v>
      </c>
      <c r="S530" t="s">
        <v>1234</v>
      </c>
      <c r="T530" t="s">
        <v>1234</v>
      </c>
      <c r="W530" t="s">
        <v>1234</v>
      </c>
      <c r="Z530" t="s">
        <v>1234</v>
      </c>
      <c r="AG530" t="s">
        <v>1234</v>
      </c>
      <c r="AL530" t="s">
        <v>1234</v>
      </c>
      <c r="AN530" t="s">
        <v>1234</v>
      </c>
      <c r="AP530" t="s">
        <v>1234</v>
      </c>
      <c r="AU530" t="s">
        <v>1234</v>
      </c>
      <c r="AV530" t="s">
        <v>1234</v>
      </c>
    </row>
    <row r="531" spans="1:48" x14ac:dyDescent="0.3">
      <c r="A531" t="s">
        <v>283</v>
      </c>
      <c r="B531" t="s">
        <v>1234</v>
      </c>
      <c r="D531" t="s">
        <v>1234</v>
      </c>
      <c r="F531" t="s">
        <v>1234</v>
      </c>
      <c r="O531" t="s">
        <v>1234</v>
      </c>
      <c r="P531" t="s">
        <v>1234</v>
      </c>
      <c r="Q531" t="s">
        <v>1234</v>
      </c>
      <c r="R531" t="s">
        <v>1234</v>
      </c>
      <c r="S531" t="s">
        <v>1234</v>
      </c>
      <c r="V531" t="s">
        <v>1234</v>
      </c>
      <c r="AB531" t="s">
        <v>1234</v>
      </c>
      <c r="AD531" t="s">
        <v>1234</v>
      </c>
      <c r="AF531" t="s">
        <v>1234</v>
      </c>
      <c r="AL531" t="s">
        <v>1234</v>
      </c>
      <c r="AN531" t="s">
        <v>1234</v>
      </c>
      <c r="AP531" t="s">
        <v>1234</v>
      </c>
      <c r="AU531" t="s">
        <v>1234</v>
      </c>
      <c r="AV531" t="s">
        <v>1234</v>
      </c>
    </row>
    <row r="532" spans="1:48" x14ac:dyDescent="0.3">
      <c r="A532" t="s">
        <v>291</v>
      </c>
      <c r="B532" t="s">
        <v>1234</v>
      </c>
      <c r="D532" t="s">
        <v>1234</v>
      </c>
      <c r="F532" t="s">
        <v>1234</v>
      </c>
      <c r="O532" t="s">
        <v>1234</v>
      </c>
      <c r="P532" t="s">
        <v>1234</v>
      </c>
      <c r="Q532" t="s">
        <v>1234</v>
      </c>
      <c r="R532" t="s">
        <v>1234</v>
      </c>
      <c r="S532" t="s">
        <v>1234</v>
      </c>
      <c r="V532" t="s">
        <v>1234</v>
      </c>
      <c r="AB532" t="s">
        <v>1234</v>
      </c>
      <c r="AD532" t="s">
        <v>1234</v>
      </c>
      <c r="AF532" t="s">
        <v>1234</v>
      </c>
      <c r="AL532" t="s">
        <v>1234</v>
      </c>
      <c r="AN532" t="s">
        <v>1234</v>
      </c>
      <c r="AP532" t="s">
        <v>1234</v>
      </c>
      <c r="AU532" t="s">
        <v>1234</v>
      </c>
      <c r="AV532" t="s">
        <v>1234</v>
      </c>
    </row>
    <row r="533" spans="1:48" x14ac:dyDescent="0.3">
      <c r="A533" t="s">
        <v>296</v>
      </c>
      <c r="B533" t="s">
        <v>1234</v>
      </c>
      <c r="D533" t="s">
        <v>1234</v>
      </c>
      <c r="F533" t="s">
        <v>1234</v>
      </c>
      <c r="O533" t="s">
        <v>1234</v>
      </c>
      <c r="P533" t="s">
        <v>1234</v>
      </c>
      <c r="Q533" t="s">
        <v>1234</v>
      </c>
      <c r="R533" t="s">
        <v>1234</v>
      </c>
      <c r="S533" t="s">
        <v>1234</v>
      </c>
      <c r="V533" t="s">
        <v>1234</v>
      </c>
      <c r="AB533" t="s">
        <v>1234</v>
      </c>
      <c r="AD533" t="s">
        <v>1234</v>
      </c>
      <c r="AF533" t="s">
        <v>1234</v>
      </c>
      <c r="AL533" t="s">
        <v>1234</v>
      </c>
      <c r="AN533" t="s">
        <v>1234</v>
      </c>
      <c r="AP533" t="s">
        <v>1234</v>
      </c>
      <c r="AU533" t="s">
        <v>1234</v>
      </c>
      <c r="AV533" t="s">
        <v>1234</v>
      </c>
    </row>
    <row r="534" spans="1:48" x14ac:dyDescent="0.3">
      <c r="A534" t="s">
        <v>303</v>
      </c>
      <c r="B534" t="s">
        <v>1235</v>
      </c>
      <c r="D534" t="s">
        <v>1235</v>
      </c>
      <c r="F534" t="s">
        <v>1235</v>
      </c>
      <c r="O534" t="s">
        <v>1234</v>
      </c>
      <c r="P534" t="s">
        <v>1234</v>
      </c>
      <c r="Q534" t="s">
        <v>1234</v>
      </c>
      <c r="R534" t="s">
        <v>1234</v>
      </c>
      <c r="S534" t="s">
        <v>1234</v>
      </c>
      <c r="V534" t="s">
        <v>1234</v>
      </c>
      <c r="AB534" t="s">
        <v>1234</v>
      </c>
      <c r="AD534" t="s">
        <v>1234</v>
      </c>
      <c r="AF534" t="s">
        <v>1234</v>
      </c>
      <c r="AL534" t="s">
        <v>1234</v>
      </c>
      <c r="AN534" t="s">
        <v>1234</v>
      </c>
      <c r="AP534" t="s">
        <v>1234</v>
      </c>
      <c r="AU534" t="s">
        <v>1234</v>
      </c>
      <c r="AV534" t="s">
        <v>1234</v>
      </c>
    </row>
    <row r="535" spans="1:48" x14ac:dyDescent="0.3">
      <c r="A535" t="s">
        <v>310</v>
      </c>
      <c r="B535" t="s">
        <v>1234</v>
      </c>
      <c r="D535" t="s">
        <v>1234</v>
      </c>
      <c r="F535" t="s">
        <v>1234</v>
      </c>
      <c r="O535" t="s">
        <v>1234</v>
      </c>
      <c r="P535" t="s">
        <v>1234</v>
      </c>
      <c r="Q535" t="s">
        <v>1234</v>
      </c>
      <c r="R535" t="s">
        <v>1234</v>
      </c>
      <c r="S535" t="s">
        <v>1234</v>
      </c>
      <c r="V535" t="s">
        <v>1234</v>
      </c>
      <c r="AB535" t="s">
        <v>1234</v>
      </c>
      <c r="AD535" t="s">
        <v>1234</v>
      </c>
      <c r="AF535" t="s">
        <v>1234</v>
      </c>
      <c r="AL535" t="s">
        <v>1234</v>
      </c>
      <c r="AN535" t="s">
        <v>1234</v>
      </c>
      <c r="AP535" t="s">
        <v>1234</v>
      </c>
      <c r="AU535" t="s">
        <v>1234</v>
      </c>
      <c r="AV535" t="s">
        <v>1234</v>
      </c>
    </row>
    <row r="536" spans="1:48" x14ac:dyDescent="0.3">
      <c r="A536" t="s">
        <v>320</v>
      </c>
      <c r="B536" t="s">
        <v>1234</v>
      </c>
      <c r="D536" t="s">
        <v>1234</v>
      </c>
      <c r="F536" t="s">
        <v>1234</v>
      </c>
      <c r="O536" t="s">
        <v>1234</v>
      </c>
      <c r="P536" t="s">
        <v>1234</v>
      </c>
      <c r="Q536" t="s">
        <v>1234</v>
      </c>
      <c r="R536" t="s">
        <v>1234</v>
      </c>
      <c r="S536" t="s">
        <v>1234</v>
      </c>
      <c r="T536" t="s">
        <v>1234</v>
      </c>
      <c r="W536" t="s">
        <v>1234</v>
      </c>
      <c r="Z536" t="s">
        <v>1234</v>
      </c>
      <c r="AG536" t="s">
        <v>1234</v>
      </c>
      <c r="AL536" t="s">
        <v>1234</v>
      </c>
      <c r="AN536" t="s">
        <v>1234</v>
      </c>
      <c r="AP536" t="s">
        <v>1234</v>
      </c>
      <c r="AU536" t="s">
        <v>1234</v>
      </c>
      <c r="AV536" t="s">
        <v>1234</v>
      </c>
    </row>
    <row r="537" spans="1:48" x14ac:dyDescent="0.3">
      <c r="A537" t="s">
        <v>330</v>
      </c>
      <c r="B537" t="s">
        <v>1234</v>
      </c>
      <c r="D537" t="s">
        <v>1234</v>
      </c>
      <c r="F537" t="s">
        <v>1234</v>
      </c>
      <c r="I537" t="s">
        <v>1234</v>
      </c>
      <c r="K537" t="s">
        <v>1234</v>
      </c>
      <c r="O537" t="s">
        <v>1234</v>
      </c>
      <c r="P537" t="s">
        <v>1234</v>
      </c>
      <c r="Q537" t="s">
        <v>1234</v>
      </c>
      <c r="R537" t="s">
        <v>1234</v>
      </c>
      <c r="S537" t="s">
        <v>1234</v>
      </c>
      <c r="T537" t="s">
        <v>1234</v>
      </c>
      <c r="W537" t="s">
        <v>1234</v>
      </c>
      <c r="Z537" t="s">
        <v>1234</v>
      </c>
      <c r="AG537" t="s">
        <v>1234</v>
      </c>
      <c r="AL537" t="s">
        <v>1234</v>
      </c>
      <c r="AN537" t="s">
        <v>1234</v>
      </c>
      <c r="AP537" t="s">
        <v>1234</v>
      </c>
      <c r="AU537" t="s">
        <v>1234</v>
      </c>
      <c r="AV537" t="s">
        <v>1234</v>
      </c>
    </row>
    <row r="538" spans="1:48" x14ac:dyDescent="0.3">
      <c r="A538" t="s">
        <v>341</v>
      </c>
      <c r="B538" t="s">
        <v>1234</v>
      </c>
      <c r="D538" t="s">
        <v>1234</v>
      </c>
      <c r="F538" t="s">
        <v>1234</v>
      </c>
      <c r="I538" t="s">
        <v>1234</v>
      </c>
      <c r="K538" t="s">
        <v>1234</v>
      </c>
      <c r="O538" t="s">
        <v>1234</v>
      </c>
      <c r="P538" t="s">
        <v>1234</v>
      </c>
      <c r="Q538" t="s">
        <v>1234</v>
      </c>
      <c r="R538" t="s">
        <v>1234</v>
      </c>
      <c r="S538" t="s">
        <v>1234</v>
      </c>
      <c r="T538" t="s">
        <v>1234</v>
      </c>
      <c r="W538" t="s">
        <v>1234</v>
      </c>
      <c r="Z538" t="s">
        <v>1234</v>
      </c>
      <c r="AG538" t="s">
        <v>1234</v>
      </c>
      <c r="AL538" t="s">
        <v>1234</v>
      </c>
      <c r="AN538" t="s">
        <v>1234</v>
      </c>
      <c r="AP538" t="s">
        <v>1234</v>
      </c>
      <c r="AU538" t="s">
        <v>1234</v>
      </c>
      <c r="AV538" t="s">
        <v>1234</v>
      </c>
    </row>
    <row r="539" spans="1:48" x14ac:dyDescent="0.3">
      <c r="A539" t="s">
        <v>349</v>
      </c>
      <c r="B539" t="s">
        <v>1234</v>
      </c>
      <c r="D539" t="s">
        <v>1234</v>
      </c>
      <c r="F539" t="s">
        <v>1234</v>
      </c>
      <c r="I539" t="s">
        <v>1234</v>
      </c>
      <c r="K539" t="s">
        <v>1234</v>
      </c>
      <c r="O539" t="s">
        <v>1234</v>
      </c>
      <c r="P539" t="s">
        <v>1234</v>
      </c>
      <c r="Q539" t="s">
        <v>1234</v>
      </c>
      <c r="R539" t="s">
        <v>1234</v>
      </c>
      <c r="S539" t="s">
        <v>1234</v>
      </c>
      <c r="T539" t="s">
        <v>1234</v>
      </c>
      <c r="W539" t="s">
        <v>1234</v>
      </c>
      <c r="Z539" t="s">
        <v>1234</v>
      </c>
      <c r="AG539" t="s">
        <v>1234</v>
      </c>
      <c r="AL539" t="s">
        <v>1234</v>
      </c>
      <c r="AN539" t="s">
        <v>1234</v>
      </c>
      <c r="AP539" t="s">
        <v>1234</v>
      </c>
      <c r="AU539" t="s">
        <v>1234</v>
      </c>
      <c r="AV539" t="s">
        <v>1234</v>
      </c>
    </row>
    <row r="540" spans="1:48" x14ac:dyDescent="0.3">
      <c r="A540" t="s">
        <v>359</v>
      </c>
      <c r="B540" t="s">
        <v>1234</v>
      </c>
      <c r="D540" t="s">
        <v>1234</v>
      </c>
      <c r="F540" t="s">
        <v>1234</v>
      </c>
      <c r="I540" t="s">
        <v>1234</v>
      </c>
      <c r="K540" t="s">
        <v>1234</v>
      </c>
      <c r="O540" t="s">
        <v>1234</v>
      </c>
      <c r="P540" t="s">
        <v>1234</v>
      </c>
      <c r="Q540" t="s">
        <v>1234</v>
      </c>
      <c r="R540" t="s">
        <v>1234</v>
      </c>
      <c r="S540" t="s">
        <v>1234</v>
      </c>
      <c r="T540" t="s">
        <v>1234</v>
      </c>
      <c r="W540" t="s">
        <v>1234</v>
      </c>
      <c r="Z540" t="s">
        <v>1234</v>
      </c>
      <c r="AG540" t="s">
        <v>1234</v>
      </c>
      <c r="AL540" t="s">
        <v>1234</v>
      </c>
      <c r="AN540" t="s">
        <v>1234</v>
      </c>
      <c r="AP540" t="s">
        <v>1234</v>
      </c>
      <c r="AU540" t="s">
        <v>1234</v>
      </c>
      <c r="AV540" t="s">
        <v>1234</v>
      </c>
    </row>
    <row r="541" spans="1:48" x14ac:dyDescent="0.3">
      <c r="A541" t="s">
        <v>366</v>
      </c>
      <c r="B541" t="s">
        <v>1234</v>
      </c>
      <c r="D541" t="s">
        <v>1234</v>
      </c>
      <c r="F541" t="s">
        <v>1234</v>
      </c>
      <c r="I541" t="s">
        <v>1234</v>
      </c>
      <c r="K541" t="s">
        <v>1234</v>
      </c>
      <c r="O541" t="s">
        <v>1234</v>
      </c>
      <c r="P541" t="s">
        <v>1234</v>
      </c>
      <c r="Q541" t="s">
        <v>1234</v>
      </c>
      <c r="R541" t="s">
        <v>1234</v>
      </c>
      <c r="S541" t="s">
        <v>1234</v>
      </c>
      <c r="T541" t="s">
        <v>1234</v>
      </c>
      <c r="W541" t="s">
        <v>1234</v>
      </c>
      <c r="Z541" t="s">
        <v>1234</v>
      </c>
      <c r="AG541" t="s">
        <v>1234</v>
      </c>
      <c r="AL541" t="s">
        <v>1234</v>
      </c>
      <c r="AN541" t="s">
        <v>1234</v>
      </c>
      <c r="AP541" t="s">
        <v>1234</v>
      </c>
      <c r="AU541" t="s">
        <v>1234</v>
      </c>
      <c r="AV541" t="s">
        <v>1234</v>
      </c>
    </row>
    <row r="542" spans="1:48" x14ac:dyDescent="0.3">
      <c r="A542" t="s">
        <v>376</v>
      </c>
      <c r="B542" t="s">
        <v>1234</v>
      </c>
      <c r="D542" t="s">
        <v>1234</v>
      </c>
      <c r="F542" t="s">
        <v>1234</v>
      </c>
      <c r="O542" t="s">
        <v>1234</v>
      </c>
      <c r="P542" t="s">
        <v>1234</v>
      </c>
      <c r="Q542" t="s">
        <v>1234</v>
      </c>
      <c r="R542" t="s">
        <v>1234</v>
      </c>
      <c r="S542" t="s">
        <v>1234</v>
      </c>
      <c r="T542" t="s">
        <v>1234</v>
      </c>
      <c r="W542" t="s">
        <v>1234</v>
      </c>
      <c r="Z542" t="s">
        <v>1234</v>
      </c>
      <c r="AG542" t="s">
        <v>1234</v>
      </c>
      <c r="AL542" t="s">
        <v>1234</v>
      </c>
      <c r="AN542" t="s">
        <v>1234</v>
      </c>
      <c r="AP542" t="s">
        <v>1234</v>
      </c>
      <c r="AU542" t="s">
        <v>1234</v>
      </c>
      <c r="AV542" t="s">
        <v>1234</v>
      </c>
    </row>
    <row r="543" spans="1:48" x14ac:dyDescent="0.3">
      <c r="A543" t="s">
        <v>385</v>
      </c>
      <c r="B543" t="s">
        <v>1234</v>
      </c>
      <c r="D543" t="s">
        <v>1234</v>
      </c>
      <c r="F543" t="s">
        <v>1234</v>
      </c>
      <c r="O543" t="s">
        <v>1234</v>
      </c>
      <c r="P543" t="s">
        <v>1234</v>
      </c>
      <c r="Q543" t="s">
        <v>1234</v>
      </c>
      <c r="R543" t="s">
        <v>1234</v>
      </c>
      <c r="S543" t="s">
        <v>1234</v>
      </c>
      <c r="V543" t="s">
        <v>1234</v>
      </c>
      <c r="AB543" t="s">
        <v>1234</v>
      </c>
      <c r="AD543" t="s">
        <v>1234</v>
      </c>
      <c r="AF543" t="s">
        <v>1234</v>
      </c>
      <c r="AL543" t="s">
        <v>1234</v>
      </c>
      <c r="AN543" t="s">
        <v>1234</v>
      </c>
      <c r="AP543" t="s">
        <v>1234</v>
      </c>
      <c r="AU543" t="s">
        <v>1234</v>
      </c>
      <c r="AV543" t="s">
        <v>1234</v>
      </c>
    </row>
    <row r="544" spans="1:48" x14ac:dyDescent="0.3">
      <c r="A544" t="s">
        <v>394</v>
      </c>
      <c r="B544" t="s">
        <v>1234</v>
      </c>
      <c r="D544" t="s">
        <v>1234</v>
      </c>
      <c r="F544" t="s">
        <v>1234</v>
      </c>
      <c r="O544" t="s">
        <v>1234</v>
      </c>
      <c r="P544" t="s">
        <v>1234</v>
      </c>
      <c r="Q544" t="s">
        <v>1234</v>
      </c>
      <c r="R544" t="s">
        <v>1234</v>
      </c>
      <c r="S544" t="s">
        <v>1234</v>
      </c>
      <c r="V544" t="s">
        <v>1234</v>
      </c>
      <c r="AB544" t="s">
        <v>1234</v>
      </c>
      <c r="AD544" t="s">
        <v>1234</v>
      </c>
      <c r="AF544" t="s">
        <v>1234</v>
      </c>
      <c r="AL544" t="s">
        <v>1234</v>
      </c>
      <c r="AN544" t="s">
        <v>1234</v>
      </c>
      <c r="AP544" t="s">
        <v>1234</v>
      </c>
      <c r="AU544" t="s">
        <v>1234</v>
      </c>
      <c r="AV544" t="s">
        <v>1234</v>
      </c>
    </row>
    <row r="545" spans="1:48" x14ac:dyDescent="0.3">
      <c r="A545" t="s">
        <v>402</v>
      </c>
      <c r="B545" t="s">
        <v>1234</v>
      </c>
      <c r="D545" t="s">
        <v>1234</v>
      </c>
      <c r="F545" t="s">
        <v>1234</v>
      </c>
      <c r="O545" t="s">
        <v>1234</v>
      </c>
      <c r="P545" t="s">
        <v>1234</v>
      </c>
      <c r="Q545" t="s">
        <v>1234</v>
      </c>
      <c r="R545" t="s">
        <v>1234</v>
      </c>
      <c r="S545" t="s">
        <v>1234</v>
      </c>
      <c r="V545" t="s">
        <v>1234</v>
      </c>
      <c r="AB545" t="s">
        <v>1234</v>
      </c>
      <c r="AD545" t="s">
        <v>1234</v>
      </c>
      <c r="AF545" t="s">
        <v>1234</v>
      </c>
      <c r="AL545" t="s">
        <v>1234</v>
      </c>
      <c r="AN545" t="s">
        <v>1234</v>
      </c>
      <c r="AP545" t="s">
        <v>1234</v>
      </c>
      <c r="AR545" t="s">
        <v>1234</v>
      </c>
      <c r="AS545" t="s">
        <v>1234</v>
      </c>
      <c r="AT545" t="s">
        <v>1234</v>
      </c>
      <c r="AU545" t="s">
        <v>1234</v>
      </c>
      <c r="AV545" t="s">
        <v>1234</v>
      </c>
    </row>
    <row r="546" spans="1:48" x14ac:dyDescent="0.3">
      <c r="A546" t="s">
        <v>411</v>
      </c>
      <c r="B546" t="s">
        <v>1234</v>
      </c>
      <c r="D546" t="s">
        <v>1234</v>
      </c>
      <c r="F546" t="s">
        <v>1234</v>
      </c>
      <c r="O546" t="s">
        <v>1234</v>
      </c>
      <c r="P546" t="s">
        <v>1234</v>
      </c>
      <c r="Q546" t="s">
        <v>1234</v>
      </c>
      <c r="R546" t="s">
        <v>1234</v>
      </c>
      <c r="S546" t="s">
        <v>1234</v>
      </c>
      <c r="V546" t="s">
        <v>1234</v>
      </c>
      <c r="AB546" t="s">
        <v>1234</v>
      </c>
      <c r="AD546" t="s">
        <v>1234</v>
      </c>
      <c r="AF546" t="s">
        <v>1234</v>
      </c>
      <c r="AL546" t="s">
        <v>1234</v>
      </c>
      <c r="AN546" t="s">
        <v>1234</v>
      </c>
      <c r="AP546" t="s">
        <v>1234</v>
      </c>
      <c r="AR546" t="s">
        <v>1234</v>
      </c>
      <c r="AS546" t="s">
        <v>1234</v>
      </c>
      <c r="AT546" t="s">
        <v>1234</v>
      </c>
      <c r="AU546" t="s">
        <v>1234</v>
      </c>
      <c r="AV546" t="s">
        <v>1234</v>
      </c>
    </row>
    <row r="547" spans="1:48" x14ac:dyDescent="0.3">
      <c r="A547" t="s">
        <v>420</v>
      </c>
      <c r="B547" t="s">
        <v>1234</v>
      </c>
      <c r="D547" t="s">
        <v>1234</v>
      </c>
      <c r="F547" t="s">
        <v>1234</v>
      </c>
      <c r="O547" t="s">
        <v>1234</v>
      </c>
      <c r="P547" t="s">
        <v>1234</v>
      </c>
      <c r="Q547" t="s">
        <v>1234</v>
      </c>
      <c r="R547" t="s">
        <v>1234</v>
      </c>
      <c r="S547" t="s">
        <v>1234</v>
      </c>
      <c r="V547" t="s">
        <v>1234</v>
      </c>
      <c r="AB547" t="s">
        <v>1234</v>
      </c>
      <c r="AD547" t="s">
        <v>1234</v>
      </c>
      <c r="AF547" t="s">
        <v>1234</v>
      </c>
      <c r="AL547" t="s">
        <v>1234</v>
      </c>
      <c r="AN547" t="s">
        <v>1234</v>
      </c>
      <c r="AP547" t="s">
        <v>1234</v>
      </c>
      <c r="AR547" t="s">
        <v>1234</v>
      </c>
      <c r="AS547" t="s">
        <v>1234</v>
      </c>
      <c r="AT547" t="s">
        <v>1234</v>
      </c>
      <c r="AU547" t="s">
        <v>1234</v>
      </c>
      <c r="AV547" t="s">
        <v>1234</v>
      </c>
    </row>
    <row r="548" spans="1:48" x14ac:dyDescent="0.3">
      <c r="A548" t="s">
        <v>427</v>
      </c>
      <c r="B548" t="s">
        <v>1234</v>
      </c>
      <c r="D548" t="s">
        <v>1234</v>
      </c>
      <c r="F548" t="s">
        <v>1234</v>
      </c>
      <c r="O548" t="s">
        <v>1234</v>
      </c>
      <c r="P548" t="s">
        <v>1234</v>
      </c>
      <c r="Q548" t="s">
        <v>1234</v>
      </c>
      <c r="R548" t="s">
        <v>1234</v>
      </c>
      <c r="S548" t="s">
        <v>1234</v>
      </c>
      <c r="T548" t="s">
        <v>1234</v>
      </c>
      <c r="W548" t="s">
        <v>1234</v>
      </c>
      <c r="Z548" t="s">
        <v>1234</v>
      </c>
      <c r="AG548" t="s">
        <v>1234</v>
      </c>
      <c r="AL548" t="s">
        <v>1234</v>
      </c>
      <c r="AN548" t="s">
        <v>1234</v>
      </c>
      <c r="AP548" t="s">
        <v>1234</v>
      </c>
      <c r="AR548" t="s">
        <v>1234</v>
      </c>
      <c r="AS548" t="s">
        <v>1234</v>
      </c>
      <c r="AT548" t="s">
        <v>1234</v>
      </c>
      <c r="AU548" t="s">
        <v>1234</v>
      </c>
      <c r="AV548" t="s">
        <v>1234</v>
      </c>
    </row>
    <row r="549" spans="1:48" x14ac:dyDescent="0.3">
      <c r="A549" t="s">
        <v>436</v>
      </c>
      <c r="B549" t="s">
        <v>1234</v>
      </c>
      <c r="D549" t="s">
        <v>1234</v>
      </c>
      <c r="F549" t="s">
        <v>1234</v>
      </c>
      <c r="I549" t="s">
        <v>1234</v>
      </c>
      <c r="K549" t="s">
        <v>1234</v>
      </c>
      <c r="O549" t="s">
        <v>1234</v>
      </c>
      <c r="P549" t="s">
        <v>1234</v>
      </c>
      <c r="Q549" t="s">
        <v>1234</v>
      </c>
      <c r="R549" t="s">
        <v>1234</v>
      </c>
      <c r="S549" t="s">
        <v>1234</v>
      </c>
      <c r="T549" t="s">
        <v>1234</v>
      </c>
      <c r="W549" t="s">
        <v>1234</v>
      </c>
      <c r="Z549" t="s">
        <v>1234</v>
      </c>
      <c r="AG549" t="s">
        <v>1234</v>
      </c>
      <c r="AL549" t="s">
        <v>1234</v>
      </c>
      <c r="AN549" t="s">
        <v>1234</v>
      </c>
      <c r="AP549" t="s">
        <v>1234</v>
      </c>
      <c r="AR549" t="s">
        <v>1234</v>
      </c>
      <c r="AS549" t="s">
        <v>1234</v>
      </c>
      <c r="AT549" t="s">
        <v>1234</v>
      </c>
      <c r="AU549" t="s">
        <v>1234</v>
      </c>
      <c r="AV549" t="s">
        <v>1234</v>
      </c>
    </row>
    <row r="550" spans="1:48" x14ac:dyDescent="0.3">
      <c r="A550" t="s">
        <v>442</v>
      </c>
      <c r="B550" t="s">
        <v>1234</v>
      </c>
      <c r="D550" t="s">
        <v>1234</v>
      </c>
      <c r="F550" t="s">
        <v>1234</v>
      </c>
      <c r="I550" t="s">
        <v>1234</v>
      </c>
      <c r="K550" t="s">
        <v>1234</v>
      </c>
      <c r="O550" t="s">
        <v>1234</v>
      </c>
      <c r="P550" t="s">
        <v>1234</v>
      </c>
      <c r="Q550" t="s">
        <v>1234</v>
      </c>
      <c r="R550" t="s">
        <v>1234</v>
      </c>
      <c r="S550" t="s">
        <v>1234</v>
      </c>
      <c r="T550" t="s">
        <v>1234</v>
      </c>
      <c r="W550" t="s">
        <v>1234</v>
      </c>
      <c r="Z550" t="s">
        <v>1234</v>
      </c>
      <c r="AG550" t="s">
        <v>1234</v>
      </c>
      <c r="AL550" t="s">
        <v>1234</v>
      </c>
      <c r="AN550" t="s">
        <v>1234</v>
      </c>
      <c r="AP550" t="s">
        <v>1234</v>
      </c>
      <c r="AR550" t="s">
        <v>1234</v>
      </c>
      <c r="AS550" t="s">
        <v>1234</v>
      </c>
      <c r="AT550" t="s">
        <v>1234</v>
      </c>
      <c r="AU550" t="s">
        <v>1234</v>
      </c>
      <c r="AV550" t="s">
        <v>1234</v>
      </c>
    </row>
    <row r="551" spans="1:48" x14ac:dyDescent="0.3">
      <c r="A551" t="s">
        <v>448</v>
      </c>
      <c r="B551" t="s">
        <v>1234</v>
      </c>
      <c r="D551" t="s">
        <v>1234</v>
      </c>
      <c r="F551" t="s">
        <v>1234</v>
      </c>
      <c r="I551" t="s">
        <v>1234</v>
      </c>
      <c r="K551" t="s">
        <v>1234</v>
      </c>
      <c r="O551" t="s">
        <v>1234</v>
      </c>
      <c r="P551" t="s">
        <v>1234</v>
      </c>
      <c r="Q551" t="s">
        <v>1234</v>
      </c>
      <c r="R551" t="s">
        <v>1234</v>
      </c>
      <c r="S551" t="s">
        <v>1234</v>
      </c>
      <c r="T551" t="s">
        <v>1234</v>
      </c>
      <c r="W551" t="s">
        <v>1234</v>
      </c>
      <c r="Z551" t="s">
        <v>1234</v>
      </c>
      <c r="AG551" t="s">
        <v>1234</v>
      </c>
      <c r="AL551" t="s">
        <v>1234</v>
      </c>
      <c r="AN551" t="s">
        <v>1234</v>
      </c>
      <c r="AP551" t="s">
        <v>1234</v>
      </c>
      <c r="AR551" t="s">
        <v>1234</v>
      </c>
      <c r="AS551" t="s">
        <v>1234</v>
      </c>
      <c r="AT551" t="s">
        <v>1234</v>
      </c>
      <c r="AU551" t="s">
        <v>1234</v>
      </c>
      <c r="AV551" t="s">
        <v>1234</v>
      </c>
    </row>
    <row r="552" spans="1:48" x14ac:dyDescent="0.3">
      <c r="A552" t="s">
        <v>455</v>
      </c>
      <c r="B552" t="s">
        <v>1234</v>
      </c>
      <c r="D552" t="s">
        <v>1234</v>
      </c>
      <c r="F552" t="s">
        <v>1234</v>
      </c>
      <c r="I552" t="s">
        <v>1234</v>
      </c>
      <c r="K552" t="s">
        <v>1234</v>
      </c>
      <c r="O552" t="s">
        <v>1234</v>
      </c>
      <c r="P552" t="s">
        <v>1234</v>
      </c>
      <c r="Q552" t="s">
        <v>1234</v>
      </c>
      <c r="R552" t="s">
        <v>1234</v>
      </c>
      <c r="S552" t="s">
        <v>1234</v>
      </c>
      <c r="T552" t="s">
        <v>1234</v>
      </c>
      <c r="W552" t="s">
        <v>1234</v>
      </c>
      <c r="Z552" t="s">
        <v>1234</v>
      </c>
      <c r="AG552" t="s">
        <v>1234</v>
      </c>
      <c r="AL552" t="s">
        <v>1234</v>
      </c>
      <c r="AN552" t="s">
        <v>1234</v>
      </c>
      <c r="AP552" t="s">
        <v>1234</v>
      </c>
      <c r="AR552" t="s">
        <v>1234</v>
      </c>
      <c r="AS552" t="s">
        <v>1234</v>
      </c>
      <c r="AT552" t="s">
        <v>1234</v>
      </c>
      <c r="AU552" t="s">
        <v>1234</v>
      </c>
      <c r="AV552" t="s">
        <v>1234</v>
      </c>
    </row>
    <row r="553" spans="1:48" x14ac:dyDescent="0.3">
      <c r="A553" t="s">
        <v>464</v>
      </c>
      <c r="B553" t="s">
        <v>1234</v>
      </c>
      <c r="D553" t="s">
        <v>1234</v>
      </c>
      <c r="F553" t="s">
        <v>1234</v>
      </c>
      <c r="I553" t="s">
        <v>1234</v>
      </c>
      <c r="K553" t="s">
        <v>1234</v>
      </c>
      <c r="O553" t="s">
        <v>1234</v>
      </c>
      <c r="P553" t="s">
        <v>1234</v>
      </c>
      <c r="Q553" t="s">
        <v>1234</v>
      </c>
      <c r="R553" t="s">
        <v>1234</v>
      </c>
      <c r="S553" t="s">
        <v>1234</v>
      </c>
      <c r="T553" t="s">
        <v>1234</v>
      </c>
      <c r="W553" t="s">
        <v>1234</v>
      </c>
      <c r="Z553" t="s">
        <v>1234</v>
      </c>
      <c r="AG553" t="s">
        <v>1234</v>
      </c>
      <c r="AL553" t="s">
        <v>1234</v>
      </c>
      <c r="AN553" t="s">
        <v>1234</v>
      </c>
      <c r="AP553" t="s">
        <v>1234</v>
      </c>
      <c r="AR553" t="s">
        <v>1234</v>
      </c>
      <c r="AS553" t="s">
        <v>1234</v>
      </c>
      <c r="AT553" t="s">
        <v>1234</v>
      </c>
      <c r="AU553" t="s">
        <v>1234</v>
      </c>
      <c r="AV553" t="s">
        <v>1234</v>
      </c>
    </row>
    <row r="554" spans="1:48" x14ac:dyDescent="0.3">
      <c r="A554" t="s">
        <v>469</v>
      </c>
      <c r="B554" t="s">
        <v>1234</v>
      </c>
      <c r="D554" t="s">
        <v>1234</v>
      </c>
      <c r="F554" t="s">
        <v>1234</v>
      </c>
      <c r="O554" t="s">
        <v>1234</v>
      </c>
      <c r="P554" t="s">
        <v>1234</v>
      </c>
      <c r="Q554" t="s">
        <v>1234</v>
      </c>
      <c r="R554" t="s">
        <v>1234</v>
      </c>
      <c r="S554" t="s">
        <v>1234</v>
      </c>
      <c r="T554" t="s">
        <v>1234</v>
      </c>
      <c r="W554" t="s">
        <v>1234</v>
      </c>
      <c r="Z554" t="s">
        <v>1234</v>
      </c>
      <c r="AG554" t="s">
        <v>1234</v>
      </c>
      <c r="AL554" t="s">
        <v>1234</v>
      </c>
      <c r="AN554" t="s">
        <v>1234</v>
      </c>
      <c r="AP554" t="s">
        <v>1234</v>
      </c>
      <c r="AR554" t="s">
        <v>1234</v>
      </c>
      <c r="AS554" t="s">
        <v>1234</v>
      </c>
      <c r="AT554" t="s">
        <v>1234</v>
      </c>
      <c r="AU554" t="s">
        <v>1234</v>
      </c>
      <c r="AV554" t="s">
        <v>1234</v>
      </c>
    </row>
    <row r="555" spans="1:48" x14ac:dyDescent="0.3">
      <c r="A555" t="s">
        <v>474</v>
      </c>
      <c r="B555" t="s">
        <v>1234</v>
      </c>
      <c r="D555" t="s">
        <v>1234</v>
      </c>
      <c r="F555" t="s">
        <v>1234</v>
      </c>
      <c r="O555" t="s">
        <v>1234</v>
      </c>
      <c r="P555" t="s">
        <v>1234</v>
      </c>
      <c r="Q555" t="s">
        <v>1234</v>
      </c>
      <c r="R555" t="s">
        <v>1234</v>
      </c>
      <c r="S555" t="s">
        <v>1234</v>
      </c>
      <c r="V555" t="s">
        <v>1234</v>
      </c>
      <c r="AB555" t="s">
        <v>1234</v>
      </c>
      <c r="AD555" t="s">
        <v>1234</v>
      </c>
      <c r="AF555" t="s">
        <v>1234</v>
      </c>
      <c r="AL555" t="s">
        <v>1234</v>
      </c>
      <c r="AN555" t="s">
        <v>1234</v>
      </c>
      <c r="AP555" t="s">
        <v>1234</v>
      </c>
      <c r="AR555" t="s">
        <v>1234</v>
      </c>
      <c r="AS555" t="s">
        <v>1234</v>
      </c>
      <c r="AT555" t="s">
        <v>1234</v>
      </c>
      <c r="AU555" t="s">
        <v>1234</v>
      </c>
      <c r="AV555" t="s">
        <v>1234</v>
      </c>
    </row>
    <row r="556" spans="1:48" x14ac:dyDescent="0.3">
      <c r="A556" t="s">
        <v>480</v>
      </c>
      <c r="B556" t="s">
        <v>1234</v>
      </c>
      <c r="D556" t="s">
        <v>1234</v>
      </c>
      <c r="F556" t="s">
        <v>1234</v>
      </c>
      <c r="O556" t="s">
        <v>1234</v>
      </c>
      <c r="P556" t="s">
        <v>1234</v>
      </c>
      <c r="Q556" t="s">
        <v>1234</v>
      </c>
      <c r="R556" t="s">
        <v>1234</v>
      </c>
      <c r="S556" t="s">
        <v>1234</v>
      </c>
      <c r="V556" t="s">
        <v>1234</v>
      </c>
      <c r="AB556" t="s">
        <v>1234</v>
      </c>
      <c r="AD556" t="s">
        <v>1234</v>
      </c>
      <c r="AF556" t="s">
        <v>1234</v>
      </c>
      <c r="AL556" t="s">
        <v>1234</v>
      </c>
      <c r="AN556" t="s">
        <v>1234</v>
      </c>
      <c r="AP556" t="s">
        <v>1234</v>
      </c>
      <c r="AR556" t="s">
        <v>1234</v>
      </c>
      <c r="AS556" t="s">
        <v>1234</v>
      </c>
      <c r="AT556" t="s">
        <v>1234</v>
      </c>
      <c r="AU556" t="s">
        <v>1234</v>
      </c>
      <c r="AV556" t="s">
        <v>1234</v>
      </c>
    </row>
    <row r="557" spans="1:48" x14ac:dyDescent="0.3">
      <c r="A557" t="s">
        <v>490</v>
      </c>
      <c r="B557" t="s">
        <v>1234</v>
      </c>
      <c r="D557" t="s">
        <v>1234</v>
      </c>
      <c r="F557" t="s">
        <v>1234</v>
      </c>
      <c r="O557" t="s">
        <v>1234</v>
      </c>
      <c r="P557" t="s">
        <v>1234</v>
      </c>
      <c r="Q557" t="s">
        <v>1234</v>
      </c>
      <c r="R557" t="s">
        <v>1234</v>
      </c>
      <c r="S557" t="s">
        <v>1234</v>
      </c>
      <c r="V557" t="s">
        <v>1234</v>
      </c>
      <c r="AB557" t="s">
        <v>1234</v>
      </c>
      <c r="AD557" t="s">
        <v>1234</v>
      </c>
      <c r="AF557" t="s">
        <v>1234</v>
      </c>
      <c r="AL557" t="s">
        <v>1234</v>
      </c>
      <c r="AN557" t="s">
        <v>1234</v>
      </c>
      <c r="AP557" t="s">
        <v>1234</v>
      </c>
      <c r="AU557" t="s">
        <v>1234</v>
      </c>
      <c r="AV557" t="s">
        <v>1234</v>
      </c>
    </row>
    <row r="558" spans="1:48" x14ac:dyDescent="0.3">
      <c r="A558" t="s">
        <v>495</v>
      </c>
      <c r="B558" t="s">
        <v>1234</v>
      </c>
      <c r="D558" t="s">
        <v>1234</v>
      </c>
      <c r="F558" t="s">
        <v>1234</v>
      </c>
      <c r="O558" t="s">
        <v>1234</v>
      </c>
      <c r="P558" t="s">
        <v>1234</v>
      </c>
      <c r="Q558" t="s">
        <v>1234</v>
      </c>
      <c r="R558" t="s">
        <v>1234</v>
      </c>
      <c r="S558" t="s">
        <v>1234</v>
      </c>
      <c r="V558" t="s">
        <v>1234</v>
      </c>
      <c r="AB558" t="s">
        <v>1234</v>
      </c>
      <c r="AD558" t="s">
        <v>1234</v>
      </c>
      <c r="AF558" t="s">
        <v>1234</v>
      </c>
      <c r="AL558" t="s">
        <v>1234</v>
      </c>
      <c r="AN558" t="s">
        <v>1234</v>
      </c>
      <c r="AP558" t="s">
        <v>1234</v>
      </c>
      <c r="AU558" t="s">
        <v>1234</v>
      </c>
      <c r="AV558" t="s">
        <v>1234</v>
      </c>
    </row>
    <row r="559" spans="1:48" x14ac:dyDescent="0.3">
      <c r="A559" t="s">
        <v>503</v>
      </c>
      <c r="B559" t="s">
        <v>1234</v>
      </c>
      <c r="D559" t="s">
        <v>1234</v>
      </c>
      <c r="F559" t="s">
        <v>1234</v>
      </c>
      <c r="O559" t="s">
        <v>1234</v>
      </c>
      <c r="P559" t="s">
        <v>1234</v>
      </c>
      <c r="Q559" t="s">
        <v>1234</v>
      </c>
      <c r="R559" t="s">
        <v>1234</v>
      </c>
      <c r="S559" t="s">
        <v>1234</v>
      </c>
      <c r="V559" t="s">
        <v>1234</v>
      </c>
      <c r="AB559" t="s">
        <v>1234</v>
      </c>
      <c r="AD559" t="s">
        <v>1234</v>
      </c>
      <c r="AF559" t="s">
        <v>1234</v>
      </c>
      <c r="AL559" t="s">
        <v>1234</v>
      </c>
      <c r="AN559" t="s">
        <v>1234</v>
      </c>
      <c r="AP559" t="s">
        <v>1234</v>
      </c>
      <c r="AU559" t="s">
        <v>1234</v>
      </c>
      <c r="AV559" t="s">
        <v>1234</v>
      </c>
    </row>
    <row r="560" spans="1:48" x14ac:dyDescent="0.3">
      <c r="A560" t="s">
        <v>510</v>
      </c>
      <c r="B560" t="s">
        <v>1234</v>
      </c>
      <c r="D560" t="s">
        <v>1234</v>
      </c>
      <c r="F560" t="s">
        <v>1234</v>
      </c>
      <c r="O560" t="s">
        <v>1234</v>
      </c>
      <c r="P560" t="s">
        <v>1234</v>
      </c>
      <c r="Q560" t="s">
        <v>1234</v>
      </c>
      <c r="R560" t="s">
        <v>1234</v>
      </c>
      <c r="S560" t="s">
        <v>1234</v>
      </c>
      <c r="T560" t="s">
        <v>1234</v>
      </c>
      <c r="W560" t="s">
        <v>1234</v>
      </c>
      <c r="Z560" t="s">
        <v>1234</v>
      </c>
      <c r="AG560" t="s">
        <v>1234</v>
      </c>
      <c r="AL560" t="s">
        <v>1234</v>
      </c>
      <c r="AN560" t="s">
        <v>1234</v>
      </c>
      <c r="AP560" t="s">
        <v>1234</v>
      </c>
      <c r="AU560" t="s">
        <v>1234</v>
      </c>
      <c r="AV560" t="s">
        <v>1234</v>
      </c>
    </row>
    <row r="561" spans="1:48" x14ac:dyDescent="0.3">
      <c r="A561" t="s">
        <v>515</v>
      </c>
      <c r="B561" t="s">
        <v>1234</v>
      </c>
      <c r="D561" t="s">
        <v>1234</v>
      </c>
      <c r="F561" t="s">
        <v>1234</v>
      </c>
      <c r="I561" t="s">
        <v>1234</v>
      </c>
      <c r="K561" t="s">
        <v>1234</v>
      </c>
      <c r="O561" t="s">
        <v>1234</v>
      </c>
      <c r="P561" t="s">
        <v>1234</v>
      </c>
      <c r="Q561" t="s">
        <v>1234</v>
      </c>
      <c r="R561" t="s">
        <v>1234</v>
      </c>
      <c r="S561" t="s">
        <v>1234</v>
      </c>
      <c r="T561" t="s">
        <v>1234</v>
      </c>
      <c r="W561" t="s">
        <v>1234</v>
      </c>
      <c r="Z561" t="s">
        <v>1234</v>
      </c>
      <c r="AG561" t="s">
        <v>1234</v>
      </c>
      <c r="AL561" t="s">
        <v>1234</v>
      </c>
      <c r="AN561" t="s">
        <v>1234</v>
      </c>
      <c r="AP561" t="s">
        <v>1234</v>
      </c>
      <c r="AU561" t="s">
        <v>1234</v>
      </c>
      <c r="AV561" t="s">
        <v>1234</v>
      </c>
    </row>
    <row r="562" spans="1:48" x14ac:dyDescent="0.3">
      <c r="A562" t="s">
        <v>523</v>
      </c>
      <c r="B562" t="s">
        <v>1234</v>
      </c>
      <c r="D562" t="s">
        <v>1234</v>
      </c>
      <c r="F562" t="s">
        <v>1234</v>
      </c>
      <c r="I562" t="s">
        <v>1234</v>
      </c>
      <c r="K562" t="s">
        <v>1234</v>
      </c>
      <c r="O562" t="s">
        <v>1234</v>
      </c>
      <c r="P562" t="s">
        <v>1234</v>
      </c>
      <c r="Q562" t="s">
        <v>1234</v>
      </c>
      <c r="R562" t="s">
        <v>1234</v>
      </c>
      <c r="S562" t="s">
        <v>1234</v>
      </c>
      <c r="T562" t="s">
        <v>1234</v>
      </c>
      <c r="W562" t="s">
        <v>1234</v>
      </c>
      <c r="Z562" t="s">
        <v>1234</v>
      </c>
      <c r="AG562" t="s">
        <v>1234</v>
      </c>
      <c r="AL562" t="s">
        <v>1234</v>
      </c>
      <c r="AN562" t="s">
        <v>1234</v>
      </c>
      <c r="AP562" t="s">
        <v>1234</v>
      </c>
      <c r="AU562" t="s">
        <v>1234</v>
      </c>
      <c r="AV562" t="s">
        <v>1234</v>
      </c>
    </row>
    <row r="563" spans="1:48" x14ac:dyDescent="0.3">
      <c r="A563" t="s">
        <v>533</v>
      </c>
      <c r="B563" t="s">
        <v>1234</v>
      </c>
      <c r="D563" t="s">
        <v>1234</v>
      </c>
      <c r="F563" t="s">
        <v>1234</v>
      </c>
      <c r="I563" t="s">
        <v>1234</v>
      </c>
      <c r="K563" t="s">
        <v>1234</v>
      </c>
      <c r="O563" t="s">
        <v>1234</v>
      </c>
      <c r="P563" t="s">
        <v>1234</v>
      </c>
      <c r="Q563" t="s">
        <v>1234</v>
      </c>
      <c r="R563" t="s">
        <v>1234</v>
      </c>
      <c r="S563" t="s">
        <v>1234</v>
      </c>
      <c r="T563" t="s">
        <v>1234</v>
      </c>
      <c r="W563" t="s">
        <v>1234</v>
      </c>
      <c r="Z563" t="s">
        <v>1234</v>
      </c>
      <c r="AG563" t="s">
        <v>1234</v>
      </c>
      <c r="AL563" t="s">
        <v>1234</v>
      </c>
      <c r="AN563" t="s">
        <v>1234</v>
      </c>
      <c r="AP563" t="s">
        <v>1234</v>
      </c>
      <c r="AU563" t="s">
        <v>1234</v>
      </c>
      <c r="AV563" t="s">
        <v>1234</v>
      </c>
    </row>
    <row r="564" spans="1:48" x14ac:dyDescent="0.3">
      <c r="A564" t="s">
        <v>543</v>
      </c>
      <c r="B564" t="s">
        <v>1234</v>
      </c>
      <c r="D564" t="s">
        <v>1234</v>
      </c>
      <c r="F564" t="s">
        <v>1234</v>
      </c>
      <c r="I564" t="s">
        <v>1234</v>
      </c>
      <c r="K564" t="s">
        <v>1234</v>
      </c>
      <c r="O564" t="s">
        <v>1234</v>
      </c>
      <c r="P564" t="s">
        <v>1234</v>
      </c>
      <c r="Q564" t="s">
        <v>1234</v>
      </c>
      <c r="R564" t="s">
        <v>1234</v>
      </c>
      <c r="S564" t="s">
        <v>1234</v>
      </c>
      <c r="T564" t="s">
        <v>1234</v>
      </c>
      <c r="W564" t="s">
        <v>1234</v>
      </c>
      <c r="Z564" t="s">
        <v>1234</v>
      </c>
      <c r="AG564" t="s">
        <v>1234</v>
      </c>
      <c r="AL564" t="s">
        <v>1234</v>
      </c>
      <c r="AN564" t="s">
        <v>1234</v>
      </c>
      <c r="AP564" t="s">
        <v>1234</v>
      </c>
      <c r="AU564" t="s">
        <v>1234</v>
      </c>
      <c r="AV564" t="s">
        <v>1234</v>
      </c>
    </row>
    <row r="565" spans="1:48" x14ac:dyDescent="0.3">
      <c r="A565" t="s">
        <v>552</v>
      </c>
      <c r="B565" t="s">
        <v>1234</v>
      </c>
      <c r="D565" t="s">
        <v>1234</v>
      </c>
      <c r="F565" t="s">
        <v>1234</v>
      </c>
      <c r="I565" t="s">
        <v>1234</v>
      </c>
      <c r="K565" t="s">
        <v>1234</v>
      </c>
      <c r="O565" t="s">
        <v>1234</v>
      </c>
      <c r="P565" t="s">
        <v>1234</v>
      </c>
      <c r="Q565" t="s">
        <v>1234</v>
      </c>
      <c r="R565" t="s">
        <v>1234</v>
      </c>
      <c r="S565" t="s">
        <v>1234</v>
      </c>
      <c r="T565" t="s">
        <v>1234</v>
      </c>
      <c r="W565" t="s">
        <v>1234</v>
      </c>
      <c r="Z565" t="s">
        <v>1234</v>
      </c>
      <c r="AG565" t="s">
        <v>1234</v>
      </c>
      <c r="AL565" t="s">
        <v>1234</v>
      </c>
      <c r="AN565" t="s">
        <v>1234</v>
      </c>
      <c r="AP565" t="s">
        <v>1234</v>
      </c>
      <c r="AU565" t="s">
        <v>1234</v>
      </c>
      <c r="AV565" t="s">
        <v>1234</v>
      </c>
    </row>
    <row r="566" spans="1:48" x14ac:dyDescent="0.3">
      <c r="A566" t="s">
        <v>560</v>
      </c>
      <c r="B566" t="s">
        <v>1234</v>
      </c>
      <c r="D566" t="s">
        <v>1234</v>
      </c>
      <c r="F566" t="s">
        <v>1234</v>
      </c>
      <c r="O566" t="s">
        <v>1234</v>
      </c>
      <c r="P566" t="s">
        <v>1234</v>
      </c>
      <c r="Q566" t="s">
        <v>1234</v>
      </c>
      <c r="R566" t="s">
        <v>1234</v>
      </c>
      <c r="S566" t="s">
        <v>1234</v>
      </c>
      <c r="T566" t="s">
        <v>1234</v>
      </c>
      <c r="W566" t="s">
        <v>1234</v>
      </c>
      <c r="Z566" t="s">
        <v>1234</v>
      </c>
      <c r="AG566" t="s">
        <v>1234</v>
      </c>
      <c r="AL566" t="s">
        <v>1234</v>
      </c>
      <c r="AN566" t="s">
        <v>1234</v>
      </c>
      <c r="AP566" t="s">
        <v>1234</v>
      </c>
      <c r="AU566" t="s">
        <v>1234</v>
      </c>
      <c r="AV566" t="s">
        <v>1234</v>
      </c>
    </row>
    <row r="567" spans="1:48" x14ac:dyDescent="0.3">
      <c r="A567" t="s">
        <v>565</v>
      </c>
      <c r="B567" t="s">
        <v>1234</v>
      </c>
      <c r="D567" t="s">
        <v>1234</v>
      </c>
      <c r="F567" t="s">
        <v>1234</v>
      </c>
      <c r="O567" t="s">
        <v>1234</v>
      </c>
      <c r="P567" t="s">
        <v>1234</v>
      </c>
      <c r="Q567" t="s">
        <v>1234</v>
      </c>
      <c r="R567" t="s">
        <v>1234</v>
      </c>
      <c r="S567" t="s">
        <v>1234</v>
      </c>
      <c r="V567" t="s">
        <v>1234</v>
      </c>
      <c r="AB567" t="s">
        <v>1234</v>
      </c>
      <c r="AD567" t="s">
        <v>1234</v>
      </c>
      <c r="AF567" t="s">
        <v>1234</v>
      </c>
      <c r="AL567" t="s">
        <v>1234</v>
      </c>
      <c r="AN567" t="s">
        <v>1234</v>
      </c>
      <c r="AP567" t="s">
        <v>1234</v>
      </c>
      <c r="AU567" t="s">
        <v>1234</v>
      </c>
      <c r="AV567" t="s">
        <v>1234</v>
      </c>
    </row>
    <row r="568" spans="1:48" x14ac:dyDescent="0.3">
      <c r="A568" t="s">
        <v>572</v>
      </c>
      <c r="B568" t="s">
        <v>1234</v>
      </c>
      <c r="D568" t="s">
        <v>1234</v>
      </c>
      <c r="F568" t="s">
        <v>1234</v>
      </c>
      <c r="O568" t="s">
        <v>1234</v>
      </c>
      <c r="P568" t="s">
        <v>1234</v>
      </c>
      <c r="Q568" t="s">
        <v>1234</v>
      </c>
      <c r="R568" t="s">
        <v>1234</v>
      </c>
      <c r="S568" t="s">
        <v>1234</v>
      </c>
      <c r="V568" t="s">
        <v>1234</v>
      </c>
      <c r="AB568" t="s">
        <v>1234</v>
      </c>
      <c r="AD568" t="s">
        <v>1234</v>
      </c>
      <c r="AF568" t="s">
        <v>1234</v>
      </c>
      <c r="AL568" t="s">
        <v>1234</v>
      </c>
      <c r="AN568" t="s">
        <v>1234</v>
      </c>
      <c r="AP568" t="s">
        <v>1234</v>
      </c>
      <c r="AU568" t="s">
        <v>1234</v>
      </c>
      <c r="AV568" t="s">
        <v>1234</v>
      </c>
    </row>
    <row r="569" spans="1:48" x14ac:dyDescent="0.3">
      <c r="A569" t="s">
        <v>577</v>
      </c>
      <c r="C569" t="s">
        <v>1234</v>
      </c>
      <c r="E569" t="s">
        <v>1234</v>
      </c>
      <c r="G569" t="s">
        <v>1234</v>
      </c>
      <c r="H569" t="s">
        <v>1234</v>
      </c>
      <c r="R569" t="s">
        <v>1234</v>
      </c>
      <c r="S569" t="s">
        <v>1234</v>
      </c>
      <c r="X569" t="s">
        <v>1234</v>
      </c>
      <c r="AC569" t="s">
        <v>1234</v>
      </c>
      <c r="AE569" t="s">
        <v>1234</v>
      </c>
      <c r="AF569" t="s">
        <v>1234</v>
      </c>
      <c r="AK569" t="s">
        <v>1234</v>
      </c>
      <c r="AM569" t="s">
        <v>1234</v>
      </c>
      <c r="AO569" t="s">
        <v>1234</v>
      </c>
      <c r="AQ569" t="s">
        <v>1234</v>
      </c>
      <c r="AU569" t="s">
        <v>1234</v>
      </c>
      <c r="AV569" t="s">
        <v>1234</v>
      </c>
    </row>
    <row r="570" spans="1:48" x14ac:dyDescent="0.3">
      <c r="A570" t="s">
        <v>584</v>
      </c>
      <c r="C570" t="s">
        <v>1234</v>
      </c>
      <c r="E570" t="s">
        <v>1234</v>
      </c>
      <c r="G570" t="s">
        <v>1234</v>
      </c>
      <c r="H570" t="s">
        <v>1234</v>
      </c>
      <c r="R570" t="s">
        <v>1234</v>
      </c>
      <c r="S570" t="s">
        <v>1234</v>
      </c>
      <c r="X570" t="s">
        <v>1234</v>
      </c>
      <c r="AC570" t="s">
        <v>1234</v>
      </c>
      <c r="AE570" t="s">
        <v>1234</v>
      </c>
      <c r="AF570" t="s">
        <v>1234</v>
      </c>
      <c r="AK570" t="s">
        <v>1234</v>
      </c>
      <c r="AM570" t="s">
        <v>1234</v>
      </c>
      <c r="AO570" t="s">
        <v>1234</v>
      </c>
      <c r="AQ570" t="s">
        <v>1234</v>
      </c>
      <c r="AU570" t="s">
        <v>1234</v>
      </c>
      <c r="AV570" t="s">
        <v>1234</v>
      </c>
    </row>
    <row r="571" spans="1:48" x14ac:dyDescent="0.3">
      <c r="A571" t="s">
        <v>591</v>
      </c>
      <c r="C571" t="s">
        <v>1234</v>
      </c>
      <c r="E571" t="s">
        <v>1234</v>
      </c>
      <c r="G571" t="s">
        <v>1234</v>
      </c>
      <c r="H571" t="s">
        <v>1234</v>
      </c>
      <c r="R571" t="s">
        <v>1234</v>
      </c>
      <c r="S571" t="s">
        <v>1234</v>
      </c>
      <c r="X571" t="s">
        <v>1234</v>
      </c>
      <c r="AC571" t="s">
        <v>1234</v>
      </c>
      <c r="AE571" t="s">
        <v>1234</v>
      </c>
      <c r="AF571" t="s">
        <v>1234</v>
      </c>
      <c r="AK571" t="s">
        <v>1234</v>
      </c>
      <c r="AM571" t="s">
        <v>1234</v>
      </c>
      <c r="AO571" t="s">
        <v>1234</v>
      </c>
      <c r="AQ571" t="s">
        <v>1234</v>
      </c>
      <c r="AU571" t="s">
        <v>1234</v>
      </c>
      <c r="AV571" t="s">
        <v>1234</v>
      </c>
    </row>
    <row r="572" spans="1:48" x14ac:dyDescent="0.3">
      <c r="A572" t="s">
        <v>600</v>
      </c>
      <c r="C572" t="s">
        <v>1234</v>
      </c>
      <c r="E572" t="s">
        <v>1234</v>
      </c>
      <c r="G572" t="s">
        <v>1234</v>
      </c>
      <c r="H572" t="s">
        <v>1234</v>
      </c>
      <c r="R572" t="s">
        <v>1234</v>
      </c>
      <c r="S572" t="s">
        <v>1234</v>
      </c>
      <c r="U572" t="s">
        <v>1234</v>
      </c>
      <c r="Y572" t="s">
        <v>1234</v>
      </c>
      <c r="AA572" t="s">
        <v>1234</v>
      </c>
      <c r="AG572" t="s">
        <v>1234</v>
      </c>
      <c r="AK572" t="s">
        <v>1234</v>
      </c>
      <c r="AM572" t="s">
        <v>1234</v>
      </c>
      <c r="AO572" t="s">
        <v>1234</v>
      </c>
      <c r="AQ572" t="s">
        <v>1234</v>
      </c>
      <c r="AU572" t="s">
        <v>1234</v>
      </c>
      <c r="AV572" t="s">
        <v>1234</v>
      </c>
    </row>
    <row r="573" spans="1:48" x14ac:dyDescent="0.3">
      <c r="A573" t="s">
        <v>606</v>
      </c>
      <c r="C573" t="s">
        <v>1234</v>
      </c>
      <c r="E573" t="s">
        <v>1234</v>
      </c>
      <c r="G573" t="s">
        <v>1234</v>
      </c>
      <c r="H573" t="s">
        <v>1234</v>
      </c>
      <c r="J573" t="s">
        <v>1234</v>
      </c>
      <c r="L573" t="s">
        <v>1234</v>
      </c>
      <c r="R573" t="s">
        <v>1234</v>
      </c>
      <c r="S573" t="s">
        <v>1234</v>
      </c>
      <c r="U573" t="s">
        <v>1234</v>
      </c>
      <c r="Y573" t="s">
        <v>1234</v>
      </c>
      <c r="AA573" t="s">
        <v>1234</v>
      </c>
      <c r="AG573" t="s">
        <v>1234</v>
      </c>
      <c r="AK573" t="s">
        <v>1234</v>
      </c>
      <c r="AM573" t="s">
        <v>1234</v>
      </c>
      <c r="AO573" t="s">
        <v>1234</v>
      </c>
      <c r="AQ573" t="s">
        <v>1234</v>
      </c>
      <c r="AU573" t="s">
        <v>1234</v>
      </c>
      <c r="AV573" t="s">
        <v>1234</v>
      </c>
    </row>
    <row r="574" spans="1:48" x14ac:dyDescent="0.3">
      <c r="A574" t="s">
        <v>614</v>
      </c>
      <c r="C574" t="s">
        <v>1234</v>
      </c>
      <c r="E574" t="s">
        <v>1234</v>
      </c>
      <c r="G574" t="s">
        <v>1234</v>
      </c>
      <c r="H574" t="s">
        <v>1234</v>
      </c>
      <c r="J574" t="s">
        <v>1234</v>
      </c>
      <c r="L574" t="s">
        <v>1234</v>
      </c>
      <c r="R574" t="s">
        <v>1234</v>
      </c>
      <c r="S574" t="s">
        <v>1234</v>
      </c>
      <c r="U574" t="s">
        <v>1234</v>
      </c>
      <c r="Y574" t="s">
        <v>1234</v>
      </c>
      <c r="AA574" t="s">
        <v>1234</v>
      </c>
      <c r="AG574" t="s">
        <v>1234</v>
      </c>
      <c r="AK574" t="s">
        <v>1234</v>
      </c>
      <c r="AM574" t="s">
        <v>1234</v>
      </c>
      <c r="AO574" t="s">
        <v>1234</v>
      </c>
      <c r="AQ574" t="s">
        <v>1234</v>
      </c>
      <c r="AU574" t="s">
        <v>1234</v>
      </c>
      <c r="AV574" t="s">
        <v>1234</v>
      </c>
    </row>
    <row r="575" spans="1:48" x14ac:dyDescent="0.3">
      <c r="A575" t="s">
        <v>624</v>
      </c>
      <c r="C575" t="s">
        <v>1234</v>
      </c>
      <c r="E575" t="s">
        <v>1234</v>
      </c>
      <c r="G575" t="s">
        <v>1234</v>
      </c>
      <c r="H575" t="s">
        <v>1234</v>
      </c>
      <c r="J575" t="s">
        <v>1234</v>
      </c>
      <c r="L575" t="s">
        <v>1234</v>
      </c>
      <c r="R575" t="s">
        <v>1234</v>
      </c>
      <c r="S575" t="s">
        <v>1234</v>
      </c>
      <c r="U575" t="s">
        <v>1234</v>
      </c>
      <c r="Y575" t="s">
        <v>1234</v>
      </c>
      <c r="AA575" t="s">
        <v>1234</v>
      </c>
      <c r="AG575" t="s">
        <v>1234</v>
      </c>
      <c r="AK575" t="s">
        <v>1234</v>
      </c>
      <c r="AM575" t="s">
        <v>1234</v>
      </c>
      <c r="AO575" t="s">
        <v>1234</v>
      </c>
      <c r="AQ575" t="s">
        <v>1234</v>
      </c>
      <c r="AU575" t="s">
        <v>1234</v>
      </c>
      <c r="AV575" t="s">
        <v>1234</v>
      </c>
    </row>
    <row r="576" spans="1:48" x14ac:dyDescent="0.3">
      <c r="A576" t="s">
        <v>633</v>
      </c>
      <c r="C576" t="s">
        <v>1234</v>
      </c>
      <c r="E576" t="s">
        <v>1234</v>
      </c>
      <c r="G576" t="s">
        <v>1234</v>
      </c>
      <c r="H576" t="s">
        <v>1234</v>
      </c>
      <c r="J576" t="s">
        <v>1234</v>
      </c>
      <c r="L576" t="s">
        <v>1234</v>
      </c>
      <c r="R576" t="s">
        <v>1234</v>
      </c>
      <c r="S576" t="s">
        <v>1234</v>
      </c>
      <c r="U576" t="s">
        <v>1234</v>
      </c>
      <c r="Y576" t="s">
        <v>1234</v>
      </c>
      <c r="AA576" t="s">
        <v>1234</v>
      </c>
      <c r="AG576" t="s">
        <v>1234</v>
      </c>
      <c r="AK576" t="s">
        <v>1234</v>
      </c>
      <c r="AM576" t="s">
        <v>1234</v>
      </c>
      <c r="AO576" t="s">
        <v>1234</v>
      </c>
      <c r="AQ576" t="s">
        <v>1234</v>
      </c>
      <c r="AU576" t="s">
        <v>1234</v>
      </c>
      <c r="AV576" t="s">
        <v>1234</v>
      </c>
    </row>
    <row r="577" spans="1:48" x14ac:dyDescent="0.3">
      <c r="A577" t="s">
        <v>642</v>
      </c>
      <c r="C577" t="s">
        <v>1234</v>
      </c>
      <c r="E577" t="s">
        <v>1234</v>
      </c>
      <c r="G577" t="s">
        <v>1234</v>
      </c>
      <c r="H577" t="s">
        <v>1234</v>
      </c>
      <c r="J577" t="s">
        <v>1234</v>
      </c>
      <c r="L577" t="s">
        <v>1234</v>
      </c>
      <c r="R577" t="s">
        <v>1234</v>
      </c>
      <c r="S577" t="s">
        <v>1234</v>
      </c>
      <c r="U577" t="s">
        <v>1234</v>
      </c>
      <c r="Y577" t="s">
        <v>1234</v>
      </c>
      <c r="AA577" t="s">
        <v>1234</v>
      </c>
      <c r="AG577" t="s">
        <v>1234</v>
      </c>
      <c r="AK577" t="s">
        <v>1234</v>
      </c>
      <c r="AM577" t="s">
        <v>1234</v>
      </c>
      <c r="AO577" t="s">
        <v>1234</v>
      </c>
      <c r="AQ577" t="s">
        <v>1234</v>
      </c>
      <c r="AU577" t="s">
        <v>1234</v>
      </c>
      <c r="AV577" t="s">
        <v>1234</v>
      </c>
    </row>
    <row r="578" spans="1:48" x14ac:dyDescent="0.3">
      <c r="A578" t="s">
        <v>652</v>
      </c>
      <c r="C578" t="s">
        <v>1234</v>
      </c>
      <c r="E578" t="s">
        <v>1234</v>
      </c>
      <c r="G578" t="s">
        <v>1234</v>
      </c>
      <c r="H578" t="s">
        <v>1234</v>
      </c>
      <c r="R578" t="s">
        <v>1234</v>
      </c>
      <c r="S578" t="s">
        <v>1234</v>
      </c>
      <c r="U578" t="s">
        <v>1234</v>
      </c>
      <c r="Y578" t="s">
        <v>1234</v>
      </c>
      <c r="AA578" t="s">
        <v>1234</v>
      </c>
      <c r="AG578" t="s">
        <v>1234</v>
      </c>
      <c r="AK578" t="s">
        <v>1234</v>
      </c>
      <c r="AM578" t="s">
        <v>1234</v>
      </c>
      <c r="AO578" t="s">
        <v>1234</v>
      </c>
      <c r="AQ578" t="s">
        <v>1234</v>
      </c>
      <c r="AU578" t="s">
        <v>1234</v>
      </c>
      <c r="AV578" t="s">
        <v>1234</v>
      </c>
    </row>
    <row r="579" spans="1:48" x14ac:dyDescent="0.3">
      <c r="A579" t="s">
        <v>660</v>
      </c>
      <c r="C579" t="s">
        <v>1234</v>
      </c>
      <c r="E579" t="s">
        <v>1234</v>
      </c>
      <c r="G579" t="s">
        <v>1234</v>
      </c>
      <c r="H579" t="s">
        <v>1234</v>
      </c>
      <c r="R579" t="s">
        <v>1234</v>
      </c>
      <c r="S579" t="s">
        <v>1234</v>
      </c>
      <c r="X579" t="s">
        <v>1234</v>
      </c>
      <c r="AC579" t="s">
        <v>1234</v>
      </c>
      <c r="AE579" t="s">
        <v>1234</v>
      </c>
      <c r="AF579" t="s">
        <v>1234</v>
      </c>
      <c r="AK579" t="s">
        <v>1234</v>
      </c>
      <c r="AM579" t="s">
        <v>1234</v>
      </c>
      <c r="AO579" t="s">
        <v>1234</v>
      </c>
      <c r="AQ579" t="s">
        <v>1234</v>
      </c>
      <c r="AU579" t="s">
        <v>1234</v>
      </c>
      <c r="AV579" t="s">
        <v>1234</v>
      </c>
    </row>
    <row r="580" spans="1:48" x14ac:dyDescent="0.3">
      <c r="A580" t="s">
        <v>666</v>
      </c>
      <c r="C580" t="s">
        <v>1234</v>
      </c>
      <c r="E580" t="s">
        <v>1234</v>
      </c>
      <c r="G580" t="s">
        <v>1234</v>
      </c>
      <c r="H580" t="s">
        <v>1234</v>
      </c>
      <c r="R580" t="s">
        <v>1234</v>
      </c>
      <c r="S580" t="s">
        <v>1234</v>
      </c>
      <c r="X580" t="s">
        <v>1234</v>
      </c>
      <c r="AC580" t="s">
        <v>1234</v>
      </c>
      <c r="AE580" t="s">
        <v>1234</v>
      </c>
      <c r="AF580" t="s">
        <v>1234</v>
      </c>
      <c r="AK580" t="s">
        <v>1234</v>
      </c>
      <c r="AM580" t="s">
        <v>1234</v>
      </c>
      <c r="AO580" t="s">
        <v>1234</v>
      </c>
      <c r="AQ580" t="s">
        <v>1234</v>
      </c>
      <c r="AU580" t="s">
        <v>1234</v>
      </c>
      <c r="AV580" t="s">
        <v>1234</v>
      </c>
    </row>
    <row r="581" spans="1:48" x14ac:dyDescent="0.3">
      <c r="A581" t="s">
        <v>676</v>
      </c>
      <c r="C581" t="s">
        <v>1234</v>
      </c>
      <c r="E581" t="s">
        <v>1234</v>
      </c>
      <c r="G581" t="s">
        <v>1234</v>
      </c>
      <c r="R581" t="s">
        <v>1234</v>
      </c>
      <c r="S581" t="s">
        <v>1234</v>
      </c>
      <c r="X581" t="s">
        <v>1234</v>
      </c>
      <c r="AC581" t="s">
        <v>1234</v>
      </c>
      <c r="AE581" t="s">
        <v>1234</v>
      </c>
      <c r="AF581" t="s">
        <v>1234</v>
      </c>
      <c r="AM581" t="s">
        <v>1234</v>
      </c>
      <c r="AO581" t="s">
        <v>1234</v>
      </c>
      <c r="AQ581" t="s">
        <v>1234</v>
      </c>
      <c r="AU581" t="s">
        <v>1234</v>
      </c>
      <c r="AV581" t="s">
        <v>1234</v>
      </c>
    </row>
    <row r="582" spans="1:48" x14ac:dyDescent="0.3">
      <c r="A582" t="s">
        <v>680</v>
      </c>
      <c r="C582" t="s">
        <v>1234</v>
      </c>
      <c r="E582" t="s">
        <v>1234</v>
      </c>
      <c r="G582" t="s">
        <v>1234</v>
      </c>
      <c r="R582" t="s">
        <v>1234</v>
      </c>
      <c r="S582" t="s">
        <v>1234</v>
      </c>
      <c r="X582" t="s">
        <v>1234</v>
      </c>
      <c r="AC582" t="s">
        <v>1234</v>
      </c>
      <c r="AE582" t="s">
        <v>1234</v>
      </c>
      <c r="AF582" t="s">
        <v>1234</v>
      </c>
      <c r="AM582" t="s">
        <v>1234</v>
      </c>
      <c r="AO582" t="s">
        <v>1234</v>
      </c>
      <c r="AQ582" t="s">
        <v>1234</v>
      </c>
      <c r="AU582" t="s">
        <v>1234</v>
      </c>
      <c r="AV582" t="s">
        <v>1234</v>
      </c>
    </row>
    <row r="583" spans="1:48" x14ac:dyDescent="0.3">
      <c r="A583" t="s">
        <v>686</v>
      </c>
      <c r="C583" t="s">
        <v>1234</v>
      </c>
      <c r="E583" t="s">
        <v>1234</v>
      </c>
      <c r="G583" t="s">
        <v>1234</v>
      </c>
      <c r="R583" t="s">
        <v>1234</v>
      </c>
      <c r="S583" t="s">
        <v>1234</v>
      </c>
      <c r="X583" t="s">
        <v>1234</v>
      </c>
      <c r="AC583" t="s">
        <v>1234</v>
      </c>
      <c r="AE583" t="s">
        <v>1234</v>
      </c>
      <c r="AF583" t="s">
        <v>1234</v>
      </c>
      <c r="AM583" t="s">
        <v>1234</v>
      </c>
      <c r="AO583" t="s">
        <v>1234</v>
      </c>
      <c r="AQ583" t="s">
        <v>1234</v>
      </c>
      <c r="AU583" t="s">
        <v>1234</v>
      </c>
      <c r="AV583" t="s">
        <v>1234</v>
      </c>
    </row>
    <row r="584" spans="1:48" x14ac:dyDescent="0.3">
      <c r="A584" t="s">
        <v>692</v>
      </c>
      <c r="C584" t="s">
        <v>1234</v>
      </c>
      <c r="E584" t="s">
        <v>1234</v>
      </c>
      <c r="G584" t="s">
        <v>1234</v>
      </c>
      <c r="R584" t="s">
        <v>1234</v>
      </c>
      <c r="S584" t="s">
        <v>1234</v>
      </c>
      <c r="U584" t="s">
        <v>1234</v>
      </c>
      <c r="Y584" t="s">
        <v>1234</v>
      </c>
      <c r="AA584" t="s">
        <v>1234</v>
      </c>
      <c r="AG584" t="s">
        <v>1234</v>
      </c>
      <c r="AM584" t="s">
        <v>1234</v>
      </c>
      <c r="AO584" t="s">
        <v>1234</v>
      </c>
      <c r="AQ584" t="s">
        <v>1234</v>
      </c>
      <c r="AU584" t="s">
        <v>1234</v>
      </c>
      <c r="AV584" t="s">
        <v>1234</v>
      </c>
    </row>
    <row r="585" spans="1:48" x14ac:dyDescent="0.3">
      <c r="A585" t="s">
        <v>697</v>
      </c>
      <c r="C585" t="s">
        <v>1234</v>
      </c>
      <c r="E585" t="s">
        <v>1234</v>
      </c>
      <c r="G585" t="s">
        <v>1234</v>
      </c>
      <c r="J585" t="s">
        <v>1234</v>
      </c>
      <c r="L585" t="s">
        <v>1234</v>
      </c>
      <c r="R585" t="s">
        <v>1234</v>
      </c>
      <c r="S585" t="s">
        <v>1234</v>
      </c>
      <c r="U585" t="s">
        <v>1234</v>
      </c>
      <c r="Y585" t="s">
        <v>1234</v>
      </c>
      <c r="AA585" t="s">
        <v>1234</v>
      </c>
      <c r="AG585" t="s">
        <v>1234</v>
      </c>
      <c r="AM585" t="s">
        <v>1234</v>
      </c>
      <c r="AO585" t="s">
        <v>1234</v>
      </c>
      <c r="AQ585" t="s">
        <v>1234</v>
      </c>
      <c r="AU585" t="s">
        <v>1234</v>
      </c>
      <c r="AV585" t="s">
        <v>1234</v>
      </c>
    </row>
    <row r="586" spans="1:48" x14ac:dyDescent="0.3">
      <c r="A586" t="s">
        <v>703</v>
      </c>
      <c r="C586" t="s">
        <v>1234</v>
      </c>
      <c r="E586" t="s">
        <v>1234</v>
      </c>
      <c r="G586" t="s">
        <v>1234</v>
      </c>
      <c r="J586" t="s">
        <v>1234</v>
      </c>
      <c r="L586" t="s">
        <v>1234</v>
      </c>
      <c r="R586" t="s">
        <v>1234</v>
      </c>
      <c r="S586" t="s">
        <v>1234</v>
      </c>
      <c r="U586" t="s">
        <v>1234</v>
      </c>
      <c r="Y586" t="s">
        <v>1234</v>
      </c>
      <c r="AA586" t="s">
        <v>1234</v>
      </c>
      <c r="AG586" t="s">
        <v>1234</v>
      </c>
      <c r="AM586" t="s">
        <v>1234</v>
      </c>
      <c r="AO586" t="s">
        <v>1234</v>
      </c>
      <c r="AQ586" t="s">
        <v>1234</v>
      </c>
      <c r="AU586" t="s">
        <v>1234</v>
      </c>
      <c r="AV586" t="s">
        <v>1234</v>
      </c>
    </row>
    <row r="587" spans="1:48" x14ac:dyDescent="0.3">
      <c r="A587" t="s">
        <v>709</v>
      </c>
      <c r="C587" t="s">
        <v>1234</v>
      </c>
      <c r="E587" t="s">
        <v>1234</v>
      </c>
      <c r="G587" t="s">
        <v>1234</v>
      </c>
      <c r="J587" t="s">
        <v>1234</v>
      </c>
      <c r="L587" t="s">
        <v>1234</v>
      </c>
      <c r="R587" t="s">
        <v>1234</v>
      </c>
      <c r="S587" t="s">
        <v>1234</v>
      </c>
      <c r="U587" t="s">
        <v>1234</v>
      </c>
      <c r="Y587" t="s">
        <v>1234</v>
      </c>
      <c r="AA587" t="s">
        <v>1234</v>
      </c>
      <c r="AG587" t="s">
        <v>1234</v>
      </c>
      <c r="AM587" t="s">
        <v>1234</v>
      </c>
      <c r="AO587" t="s">
        <v>1234</v>
      </c>
      <c r="AQ587" t="s">
        <v>1234</v>
      </c>
      <c r="AU587" t="s">
        <v>1234</v>
      </c>
      <c r="AV587" t="s">
        <v>1234</v>
      </c>
    </row>
    <row r="588" spans="1:48" x14ac:dyDescent="0.3">
      <c r="A588" t="s">
        <v>718</v>
      </c>
      <c r="C588" t="s">
        <v>1234</v>
      </c>
      <c r="E588" t="s">
        <v>1234</v>
      </c>
      <c r="G588" t="s">
        <v>1234</v>
      </c>
      <c r="J588" t="s">
        <v>1234</v>
      </c>
      <c r="L588" t="s">
        <v>1234</v>
      </c>
      <c r="R588" t="s">
        <v>1234</v>
      </c>
      <c r="S588" t="s">
        <v>1234</v>
      </c>
      <c r="U588" t="s">
        <v>1234</v>
      </c>
      <c r="Y588" t="s">
        <v>1234</v>
      </c>
      <c r="AA588" t="s">
        <v>1234</v>
      </c>
      <c r="AG588" t="s">
        <v>1234</v>
      </c>
      <c r="AM588" t="s">
        <v>1234</v>
      </c>
      <c r="AO588" t="s">
        <v>1234</v>
      </c>
      <c r="AQ588" t="s">
        <v>1234</v>
      </c>
      <c r="AU588" t="s">
        <v>1234</v>
      </c>
      <c r="AV588" t="s">
        <v>1234</v>
      </c>
    </row>
    <row r="589" spans="1:48" x14ac:dyDescent="0.3">
      <c r="A589" t="s">
        <v>726</v>
      </c>
      <c r="C589" t="s">
        <v>1234</v>
      </c>
      <c r="E589" t="s">
        <v>1234</v>
      </c>
      <c r="G589" t="s">
        <v>1234</v>
      </c>
      <c r="J589" t="s">
        <v>1234</v>
      </c>
      <c r="L589" t="s">
        <v>1234</v>
      </c>
      <c r="R589" t="s">
        <v>1234</v>
      </c>
      <c r="S589" t="s">
        <v>1234</v>
      </c>
      <c r="U589" t="s">
        <v>1234</v>
      </c>
      <c r="Y589" t="s">
        <v>1234</v>
      </c>
      <c r="AA589" t="s">
        <v>1234</v>
      </c>
      <c r="AG589" t="s">
        <v>1234</v>
      </c>
      <c r="AM589" t="s">
        <v>1234</v>
      </c>
      <c r="AO589" t="s">
        <v>1234</v>
      </c>
      <c r="AQ589" t="s">
        <v>1234</v>
      </c>
      <c r="AU589" t="s">
        <v>1234</v>
      </c>
      <c r="AV589" t="s">
        <v>1234</v>
      </c>
    </row>
    <row r="590" spans="1:48" x14ac:dyDescent="0.3">
      <c r="A590" t="s">
        <v>734</v>
      </c>
      <c r="C590" t="s">
        <v>1234</v>
      </c>
      <c r="E590" t="s">
        <v>1234</v>
      </c>
      <c r="G590" t="s">
        <v>1234</v>
      </c>
      <c r="R590" t="s">
        <v>1234</v>
      </c>
      <c r="S590" t="s">
        <v>1234</v>
      </c>
      <c r="U590" t="s">
        <v>1234</v>
      </c>
      <c r="Y590" t="s">
        <v>1234</v>
      </c>
      <c r="AA590" t="s">
        <v>1234</v>
      </c>
      <c r="AG590" t="s">
        <v>1234</v>
      </c>
      <c r="AM590" t="s">
        <v>1234</v>
      </c>
      <c r="AO590" t="s">
        <v>1234</v>
      </c>
      <c r="AQ590" t="s">
        <v>1234</v>
      </c>
      <c r="AU590" t="s">
        <v>1234</v>
      </c>
      <c r="AV590" t="s">
        <v>1234</v>
      </c>
    </row>
    <row r="591" spans="1:48" x14ac:dyDescent="0.3">
      <c r="A591" t="s">
        <v>738</v>
      </c>
      <c r="C591" t="s">
        <v>1234</v>
      </c>
      <c r="E591" t="s">
        <v>1234</v>
      </c>
      <c r="G591" t="s">
        <v>1234</v>
      </c>
      <c r="R591" t="s">
        <v>1234</v>
      </c>
      <c r="S591" t="s">
        <v>1234</v>
      </c>
      <c r="X591" t="s">
        <v>1234</v>
      </c>
      <c r="AC591" t="s">
        <v>1234</v>
      </c>
      <c r="AE591" t="s">
        <v>1234</v>
      </c>
      <c r="AF591" t="s">
        <v>1234</v>
      </c>
      <c r="AM591" t="s">
        <v>1234</v>
      </c>
      <c r="AO591" t="s">
        <v>1234</v>
      </c>
      <c r="AQ591" t="s">
        <v>1234</v>
      </c>
      <c r="AU591" t="s">
        <v>1234</v>
      </c>
      <c r="AV591" t="s">
        <v>1234</v>
      </c>
    </row>
    <row r="592" spans="1:48" x14ac:dyDescent="0.3">
      <c r="A592" t="s">
        <v>747</v>
      </c>
      <c r="C592" t="s">
        <v>1234</v>
      </c>
      <c r="E592" t="s">
        <v>1234</v>
      </c>
      <c r="G592" t="s">
        <v>1234</v>
      </c>
      <c r="R592" t="s">
        <v>1234</v>
      </c>
      <c r="S592" t="s">
        <v>1234</v>
      </c>
      <c r="X592" t="s">
        <v>1234</v>
      </c>
      <c r="AC592" t="s">
        <v>1234</v>
      </c>
      <c r="AE592" t="s">
        <v>1234</v>
      </c>
      <c r="AF592" t="s">
        <v>1234</v>
      </c>
      <c r="AM592" t="s">
        <v>1234</v>
      </c>
      <c r="AO592" t="s">
        <v>1234</v>
      </c>
      <c r="AQ592" t="s">
        <v>1234</v>
      </c>
      <c r="AU592" t="s">
        <v>1234</v>
      </c>
      <c r="AV592" t="s">
        <v>1234</v>
      </c>
    </row>
    <row r="593" spans="1:48" x14ac:dyDescent="0.3">
      <c r="A593" t="s">
        <v>754</v>
      </c>
      <c r="C593" t="s">
        <v>1234</v>
      </c>
      <c r="E593" t="s">
        <v>1234</v>
      </c>
      <c r="G593" t="s">
        <v>1234</v>
      </c>
      <c r="R593" t="s">
        <v>1234</v>
      </c>
      <c r="S593" t="s">
        <v>1234</v>
      </c>
      <c r="X593" t="s">
        <v>1234</v>
      </c>
      <c r="AC593" t="s">
        <v>1234</v>
      </c>
      <c r="AE593" t="s">
        <v>1234</v>
      </c>
      <c r="AF593" t="s">
        <v>1234</v>
      </c>
      <c r="AM593" t="s">
        <v>1234</v>
      </c>
      <c r="AO593" t="s">
        <v>1234</v>
      </c>
      <c r="AQ593" t="s">
        <v>1234</v>
      </c>
      <c r="AU593" t="s">
        <v>1234</v>
      </c>
      <c r="AV593" t="s">
        <v>1234</v>
      </c>
    </row>
    <row r="594" spans="1:48" x14ac:dyDescent="0.3">
      <c r="A594" t="s">
        <v>762</v>
      </c>
      <c r="C594" t="s">
        <v>1234</v>
      </c>
      <c r="E594" t="s">
        <v>1234</v>
      </c>
      <c r="G594" t="s">
        <v>1234</v>
      </c>
      <c r="R594" t="s">
        <v>1234</v>
      </c>
      <c r="S594" t="s">
        <v>1234</v>
      </c>
      <c r="X594" t="s">
        <v>1234</v>
      </c>
      <c r="AC594" t="s">
        <v>1234</v>
      </c>
      <c r="AE594" t="s">
        <v>1234</v>
      </c>
      <c r="AF594" t="s">
        <v>1234</v>
      </c>
      <c r="AM594" t="s">
        <v>1234</v>
      </c>
      <c r="AO594" t="s">
        <v>1234</v>
      </c>
      <c r="AQ594" t="s">
        <v>1234</v>
      </c>
      <c r="AU594" t="s">
        <v>1234</v>
      </c>
      <c r="AV594" t="s">
        <v>1234</v>
      </c>
    </row>
    <row r="595" spans="1:48" x14ac:dyDescent="0.3">
      <c r="A595" t="s">
        <v>772</v>
      </c>
      <c r="C595" t="s">
        <v>1234</v>
      </c>
      <c r="E595" t="s">
        <v>1234</v>
      </c>
      <c r="G595" t="s">
        <v>1234</v>
      </c>
      <c r="R595" t="s">
        <v>1234</v>
      </c>
      <c r="S595" t="s">
        <v>1234</v>
      </c>
      <c r="X595" t="s">
        <v>1234</v>
      </c>
      <c r="AC595" t="s">
        <v>1234</v>
      </c>
      <c r="AE595" t="s">
        <v>1234</v>
      </c>
      <c r="AF595" t="s">
        <v>1234</v>
      </c>
      <c r="AM595" t="s">
        <v>1234</v>
      </c>
      <c r="AO595" t="s">
        <v>1234</v>
      </c>
      <c r="AQ595" t="s">
        <v>1234</v>
      </c>
      <c r="AU595" t="s">
        <v>1234</v>
      </c>
      <c r="AV595" t="s">
        <v>1234</v>
      </c>
    </row>
    <row r="596" spans="1:48" x14ac:dyDescent="0.3">
      <c r="A596" t="s">
        <v>780</v>
      </c>
      <c r="C596" t="s">
        <v>1234</v>
      </c>
      <c r="E596" t="s">
        <v>1234</v>
      </c>
      <c r="G596" t="s">
        <v>1234</v>
      </c>
      <c r="R596" t="s">
        <v>1234</v>
      </c>
      <c r="S596" t="s">
        <v>1234</v>
      </c>
      <c r="U596" t="s">
        <v>1234</v>
      </c>
      <c r="Y596" t="s">
        <v>1234</v>
      </c>
      <c r="AA596" t="s">
        <v>1234</v>
      </c>
      <c r="AG596" t="s">
        <v>1234</v>
      </c>
      <c r="AM596" t="s">
        <v>1234</v>
      </c>
      <c r="AO596" t="s">
        <v>1234</v>
      </c>
      <c r="AQ596" t="s">
        <v>1234</v>
      </c>
      <c r="AU596" t="s">
        <v>1234</v>
      </c>
      <c r="AV596" t="s">
        <v>1234</v>
      </c>
    </row>
    <row r="597" spans="1:48" x14ac:dyDescent="0.3">
      <c r="A597" t="s">
        <v>785</v>
      </c>
      <c r="C597" t="s">
        <v>1234</v>
      </c>
      <c r="E597" t="s">
        <v>1234</v>
      </c>
      <c r="G597" t="s">
        <v>1234</v>
      </c>
      <c r="J597" t="s">
        <v>1234</v>
      </c>
      <c r="L597" t="s">
        <v>1234</v>
      </c>
      <c r="R597" t="s">
        <v>1234</v>
      </c>
      <c r="S597" t="s">
        <v>1234</v>
      </c>
      <c r="U597" t="s">
        <v>1234</v>
      </c>
      <c r="Y597" t="s">
        <v>1234</v>
      </c>
      <c r="AA597" t="s">
        <v>1234</v>
      </c>
      <c r="AG597" t="s">
        <v>1234</v>
      </c>
      <c r="AM597" t="s">
        <v>1234</v>
      </c>
      <c r="AO597" t="s">
        <v>1234</v>
      </c>
      <c r="AQ597" t="s">
        <v>1234</v>
      </c>
      <c r="AU597" t="s">
        <v>1234</v>
      </c>
      <c r="AV597" t="s">
        <v>1234</v>
      </c>
    </row>
    <row r="598" spans="1:48" x14ac:dyDescent="0.3">
      <c r="A598" t="s">
        <v>791</v>
      </c>
      <c r="C598" t="s">
        <v>1234</v>
      </c>
      <c r="E598" t="s">
        <v>1234</v>
      </c>
      <c r="G598" t="s">
        <v>1234</v>
      </c>
      <c r="J598" t="s">
        <v>1234</v>
      </c>
      <c r="L598" t="s">
        <v>1234</v>
      </c>
      <c r="R598" t="s">
        <v>1234</v>
      </c>
      <c r="S598" t="s">
        <v>1234</v>
      </c>
      <c r="U598" t="s">
        <v>1234</v>
      </c>
      <c r="Y598" t="s">
        <v>1234</v>
      </c>
      <c r="AA598" t="s">
        <v>1234</v>
      </c>
      <c r="AG598" t="s">
        <v>1234</v>
      </c>
      <c r="AM598" t="s">
        <v>1234</v>
      </c>
      <c r="AO598" t="s">
        <v>1234</v>
      </c>
      <c r="AQ598" t="s">
        <v>1234</v>
      </c>
      <c r="AU598" t="s">
        <v>1234</v>
      </c>
      <c r="AV598" t="s">
        <v>1234</v>
      </c>
    </row>
    <row r="599" spans="1:48" x14ac:dyDescent="0.3">
      <c r="A599" t="s">
        <v>802</v>
      </c>
      <c r="C599" t="s">
        <v>1234</v>
      </c>
      <c r="E599" t="s">
        <v>1234</v>
      </c>
      <c r="G599" t="s">
        <v>1234</v>
      </c>
      <c r="J599" t="s">
        <v>1234</v>
      </c>
      <c r="L599" t="s">
        <v>1234</v>
      </c>
      <c r="R599" t="s">
        <v>1234</v>
      </c>
      <c r="S599" t="s">
        <v>1234</v>
      </c>
      <c r="U599" t="s">
        <v>1234</v>
      </c>
      <c r="Y599" t="s">
        <v>1234</v>
      </c>
      <c r="AA599" t="s">
        <v>1234</v>
      </c>
      <c r="AG599" t="s">
        <v>1234</v>
      </c>
      <c r="AM599" t="s">
        <v>1234</v>
      </c>
      <c r="AO599" t="s">
        <v>1234</v>
      </c>
      <c r="AQ599" t="s">
        <v>1234</v>
      </c>
      <c r="AU599" t="s">
        <v>1234</v>
      </c>
      <c r="AV599" t="s">
        <v>1234</v>
      </c>
    </row>
    <row r="600" spans="1:48" x14ac:dyDescent="0.3">
      <c r="A600" t="s">
        <v>807</v>
      </c>
      <c r="C600" t="s">
        <v>1234</v>
      </c>
      <c r="E600" t="s">
        <v>1234</v>
      </c>
      <c r="G600" t="s">
        <v>1234</v>
      </c>
      <c r="J600" t="s">
        <v>1234</v>
      </c>
      <c r="L600" t="s">
        <v>1234</v>
      </c>
      <c r="R600" t="s">
        <v>1234</v>
      </c>
      <c r="S600" t="s">
        <v>1234</v>
      </c>
      <c r="U600" t="s">
        <v>1234</v>
      </c>
      <c r="Y600" t="s">
        <v>1234</v>
      </c>
      <c r="AA600" t="s">
        <v>1234</v>
      </c>
      <c r="AG600" t="s">
        <v>1234</v>
      </c>
      <c r="AM600" t="s">
        <v>1234</v>
      </c>
      <c r="AO600" t="s">
        <v>1234</v>
      </c>
      <c r="AQ600" t="s">
        <v>1234</v>
      </c>
      <c r="AU600" t="s">
        <v>1234</v>
      </c>
      <c r="AV600" t="s">
        <v>1234</v>
      </c>
    </row>
    <row r="601" spans="1:48" x14ac:dyDescent="0.3">
      <c r="A601" t="s">
        <v>812</v>
      </c>
      <c r="C601" t="s">
        <v>1234</v>
      </c>
      <c r="E601" t="s">
        <v>1234</v>
      </c>
      <c r="G601" t="s">
        <v>1234</v>
      </c>
      <c r="J601" t="s">
        <v>1234</v>
      </c>
      <c r="L601" t="s">
        <v>1234</v>
      </c>
      <c r="R601" t="s">
        <v>1234</v>
      </c>
      <c r="S601" t="s">
        <v>1234</v>
      </c>
      <c r="U601" t="s">
        <v>1234</v>
      </c>
      <c r="Y601" t="s">
        <v>1234</v>
      </c>
      <c r="AA601" t="s">
        <v>1234</v>
      </c>
      <c r="AG601" t="s">
        <v>1234</v>
      </c>
      <c r="AM601" t="s">
        <v>1234</v>
      </c>
      <c r="AO601" t="s">
        <v>1234</v>
      </c>
      <c r="AQ601" t="s">
        <v>1234</v>
      </c>
      <c r="AU601" t="s">
        <v>1234</v>
      </c>
      <c r="AV601" t="s">
        <v>1234</v>
      </c>
    </row>
    <row r="602" spans="1:48" x14ac:dyDescent="0.3">
      <c r="A602" t="s">
        <v>820</v>
      </c>
      <c r="C602" t="s">
        <v>1234</v>
      </c>
      <c r="E602" t="s">
        <v>1234</v>
      </c>
      <c r="G602" t="s">
        <v>1234</v>
      </c>
      <c r="R602" t="s">
        <v>1234</v>
      </c>
      <c r="S602" t="s">
        <v>1234</v>
      </c>
      <c r="U602" t="s">
        <v>1234</v>
      </c>
      <c r="Y602" t="s">
        <v>1234</v>
      </c>
      <c r="AA602" t="s">
        <v>1234</v>
      </c>
      <c r="AG602" t="s">
        <v>1234</v>
      </c>
      <c r="AM602" t="s">
        <v>1234</v>
      </c>
      <c r="AO602" t="s">
        <v>1234</v>
      </c>
      <c r="AQ602" t="s">
        <v>1234</v>
      </c>
      <c r="AU602" t="s">
        <v>1234</v>
      </c>
      <c r="AV602" t="s">
        <v>1234</v>
      </c>
    </row>
    <row r="603" spans="1:48" x14ac:dyDescent="0.3">
      <c r="A603" t="s">
        <v>827</v>
      </c>
      <c r="C603" t="s">
        <v>1234</v>
      </c>
      <c r="E603" t="s">
        <v>1234</v>
      </c>
      <c r="G603" t="s">
        <v>1234</v>
      </c>
      <c r="R603" t="s">
        <v>1234</v>
      </c>
      <c r="S603" t="s">
        <v>1234</v>
      </c>
      <c r="X603" t="s">
        <v>1234</v>
      </c>
      <c r="AC603" t="s">
        <v>1234</v>
      </c>
      <c r="AE603" t="s">
        <v>1234</v>
      </c>
      <c r="AF603" t="s">
        <v>1234</v>
      </c>
      <c r="AM603" t="s">
        <v>1234</v>
      </c>
      <c r="AO603" t="s">
        <v>1234</v>
      </c>
      <c r="AQ603" t="s">
        <v>1234</v>
      </c>
      <c r="AU603" t="s">
        <v>1234</v>
      </c>
      <c r="AV603" t="s">
        <v>1234</v>
      </c>
    </row>
    <row r="604" spans="1:48" x14ac:dyDescent="0.3">
      <c r="A604" t="s">
        <v>835</v>
      </c>
      <c r="C604" t="s">
        <v>1234</v>
      </c>
      <c r="E604" t="s">
        <v>1234</v>
      </c>
      <c r="G604" t="s">
        <v>1234</v>
      </c>
      <c r="R604" t="s">
        <v>1234</v>
      </c>
      <c r="S604" t="s">
        <v>1234</v>
      </c>
      <c r="X604" t="s">
        <v>1234</v>
      </c>
      <c r="AC604" t="s">
        <v>1234</v>
      </c>
      <c r="AE604" t="s">
        <v>1234</v>
      </c>
      <c r="AF604" t="s">
        <v>1234</v>
      </c>
      <c r="AM604" t="s">
        <v>1234</v>
      </c>
      <c r="AO604" t="s">
        <v>1234</v>
      </c>
      <c r="AQ604" t="s">
        <v>1234</v>
      </c>
      <c r="AU604" t="s">
        <v>1234</v>
      </c>
      <c r="AV604" t="s">
        <v>1234</v>
      </c>
    </row>
    <row r="605" spans="1:48" x14ac:dyDescent="0.3">
      <c r="A605" t="s">
        <v>839</v>
      </c>
      <c r="C605" t="s">
        <v>1234</v>
      </c>
      <c r="E605" t="s">
        <v>1234</v>
      </c>
      <c r="G605" t="s">
        <v>1234</v>
      </c>
      <c r="R605" t="s">
        <v>1234</v>
      </c>
      <c r="S605" t="s">
        <v>1234</v>
      </c>
      <c r="X605" t="s">
        <v>1234</v>
      </c>
      <c r="AC605" t="s">
        <v>1234</v>
      </c>
      <c r="AE605" t="s">
        <v>1234</v>
      </c>
      <c r="AF605" t="s">
        <v>1234</v>
      </c>
      <c r="AM605" t="s">
        <v>1234</v>
      </c>
      <c r="AO605" t="s">
        <v>1234</v>
      </c>
      <c r="AQ605" t="s">
        <v>1234</v>
      </c>
      <c r="AU605" t="s">
        <v>1234</v>
      </c>
      <c r="AV605" t="s">
        <v>1234</v>
      </c>
    </row>
    <row r="606" spans="1:48" x14ac:dyDescent="0.3">
      <c r="A606" t="s">
        <v>846</v>
      </c>
      <c r="C606" t="s">
        <v>1234</v>
      </c>
      <c r="E606" t="s">
        <v>1234</v>
      </c>
      <c r="G606" t="s">
        <v>1234</v>
      </c>
      <c r="R606" t="s">
        <v>1234</v>
      </c>
      <c r="S606" t="s">
        <v>1234</v>
      </c>
      <c r="X606" t="s">
        <v>1234</v>
      </c>
      <c r="AC606" t="s">
        <v>1234</v>
      </c>
      <c r="AE606" t="s">
        <v>1234</v>
      </c>
      <c r="AF606" t="s">
        <v>1234</v>
      </c>
      <c r="AM606" t="s">
        <v>1234</v>
      </c>
      <c r="AO606" t="s">
        <v>1234</v>
      </c>
      <c r="AQ606" t="s">
        <v>1234</v>
      </c>
      <c r="AU606" t="s">
        <v>1234</v>
      </c>
      <c r="AV606" t="s">
        <v>1234</v>
      </c>
    </row>
    <row r="607" spans="1:48" x14ac:dyDescent="0.3">
      <c r="A607" t="s">
        <v>852</v>
      </c>
      <c r="C607" t="s">
        <v>1234</v>
      </c>
      <c r="E607" t="s">
        <v>1234</v>
      </c>
      <c r="G607" t="s">
        <v>1234</v>
      </c>
      <c r="R607" t="s">
        <v>1234</v>
      </c>
      <c r="S607" t="s">
        <v>1234</v>
      </c>
      <c r="X607" t="s">
        <v>1234</v>
      </c>
      <c r="AC607" t="s">
        <v>1234</v>
      </c>
      <c r="AE607" t="s">
        <v>1234</v>
      </c>
      <c r="AF607" t="s">
        <v>1234</v>
      </c>
      <c r="AM607" t="s">
        <v>1234</v>
      </c>
      <c r="AO607" t="s">
        <v>1234</v>
      </c>
      <c r="AQ607" t="s">
        <v>1234</v>
      </c>
      <c r="AU607" t="s">
        <v>1234</v>
      </c>
      <c r="AV607" t="s">
        <v>1234</v>
      </c>
    </row>
    <row r="608" spans="1:48" x14ac:dyDescent="0.3">
      <c r="A608" t="s">
        <v>856</v>
      </c>
      <c r="C608" t="s">
        <v>1234</v>
      </c>
      <c r="E608" t="s">
        <v>1234</v>
      </c>
      <c r="G608" t="s">
        <v>1234</v>
      </c>
      <c r="R608" t="s">
        <v>1234</v>
      </c>
      <c r="S608" t="s">
        <v>1234</v>
      </c>
      <c r="U608" t="s">
        <v>1234</v>
      </c>
      <c r="Y608" t="s">
        <v>1234</v>
      </c>
      <c r="AA608" t="s">
        <v>1234</v>
      </c>
      <c r="AG608" t="s">
        <v>1234</v>
      </c>
      <c r="AM608" t="s">
        <v>1234</v>
      </c>
      <c r="AO608" t="s">
        <v>1234</v>
      </c>
      <c r="AQ608" t="s">
        <v>1234</v>
      </c>
      <c r="AU608" t="s">
        <v>1234</v>
      </c>
      <c r="AV608" t="s">
        <v>1234</v>
      </c>
    </row>
    <row r="609" spans="1:48" x14ac:dyDescent="0.3">
      <c r="A609" t="s">
        <v>860</v>
      </c>
      <c r="C609" t="s">
        <v>1234</v>
      </c>
      <c r="E609" t="s">
        <v>1234</v>
      </c>
      <c r="G609" t="s">
        <v>1234</v>
      </c>
      <c r="J609" t="s">
        <v>1234</v>
      </c>
      <c r="L609" t="s">
        <v>1234</v>
      </c>
      <c r="R609" t="s">
        <v>1234</v>
      </c>
      <c r="S609" t="s">
        <v>1234</v>
      </c>
      <c r="U609" t="s">
        <v>1234</v>
      </c>
      <c r="Y609" t="s">
        <v>1234</v>
      </c>
      <c r="AA609" t="s">
        <v>1234</v>
      </c>
      <c r="AG609" t="s">
        <v>1234</v>
      </c>
      <c r="AM609" t="s">
        <v>1234</v>
      </c>
      <c r="AO609" t="s">
        <v>1234</v>
      </c>
      <c r="AQ609" t="s">
        <v>1234</v>
      </c>
      <c r="AU609" t="s">
        <v>1234</v>
      </c>
      <c r="AV609" t="s">
        <v>1234</v>
      </c>
    </row>
    <row r="610" spans="1:48" x14ac:dyDescent="0.3">
      <c r="A610" t="s">
        <v>864</v>
      </c>
      <c r="C610" t="s">
        <v>1234</v>
      </c>
      <c r="E610" t="s">
        <v>1234</v>
      </c>
      <c r="G610" t="s">
        <v>1234</v>
      </c>
      <c r="J610" t="s">
        <v>1234</v>
      </c>
      <c r="L610" t="s">
        <v>1234</v>
      </c>
      <c r="R610" t="s">
        <v>1234</v>
      </c>
      <c r="S610" t="s">
        <v>1234</v>
      </c>
      <c r="U610" t="s">
        <v>1234</v>
      </c>
      <c r="Y610" t="s">
        <v>1234</v>
      </c>
      <c r="AA610" t="s">
        <v>1234</v>
      </c>
      <c r="AG610" t="s">
        <v>1234</v>
      </c>
      <c r="AM610" t="s">
        <v>1234</v>
      </c>
      <c r="AO610" t="s">
        <v>1234</v>
      </c>
      <c r="AQ610" t="s">
        <v>1234</v>
      </c>
      <c r="AU610" t="s">
        <v>1234</v>
      </c>
      <c r="AV610" t="s">
        <v>1234</v>
      </c>
    </row>
    <row r="611" spans="1:48" x14ac:dyDescent="0.3">
      <c r="A611" t="s">
        <v>869</v>
      </c>
      <c r="C611" t="s">
        <v>1234</v>
      </c>
      <c r="E611" t="s">
        <v>1234</v>
      </c>
      <c r="G611" t="s">
        <v>1234</v>
      </c>
      <c r="J611" t="s">
        <v>1234</v>
      </c>
      <c r="L611" t="s">
        <v>1234</v>
      </c>
      <c r="R611" t="s">
        <v>1234</v>
      </c>
      <c r="S611" t="s">
        <v>1234</v>
      </c>
      <c r="U611" t="s">
        <v>1234</v>
      </c>
      <c r="Y611" t="s">
        <v>1234</v>
      </c>
      <c r="AA611" t="s">
        <v>1234</v>
      </c>
      <c r="AG611" t="s">
        <v>1234</v>
      </c>
      <c r="AM611" t="s">
        <v>1234</v>
      </c>
      <c r="AO611" t="s">
        <v>1234</v>
      </c>
      <c r="AQ611" t="s">
        <v>1234</v>
      </c>
      <c r="AU611" t="s">
        <v>1234</v>
      </c>
      <c r="AV611" t="s">
        <v>1234</v>
      </c>
    </row>
    <row r="612" spans="1:48" x14ac:dyDescent="0.3">
      <c r="A612" t="s">
        <v>875</v>
      </c>
      <c r="C612" t="s">
        <v>1234</v>
      </c>
      <c r="E612" t="s">
        <v>1234</v>
      </c>
      <c r="G612" t="s">
        <v>1234</v>
      </c>
      <c r="J612" t="s">
        <v>1234</v>
      </c>
      <c r="L612" t="s">
        <v>1234</v>
      </c>
      <c r="R612" t="s">
        <v>1234</v>
      </c>
      <c r="S612" t="s">
        <v>1234</v>
      </c>
      <c r="U612" t="s">
        <v>1234</v>
      </c>
      <c r="Y612" t="s">
        <v>1234</v>
      </c>
      <c r="AA612" t="s">
        <v>1234</v>
      </c>
      <c r="AG612" t="s">
        <v>1234</v>
      </c>
      <c r="AM612" t="s">
        <v>1234</v>
      </c>
      <c r="AO612" t="s">
        <v>1234</v>
      </c>
      <c r="AQ612" t="s">
        <v>1234</v>
      </c>
      <c r="AU612" t="s">
        <v>1234</v>
      </c>
      <c r="AV612" t="s">
        <v>1234</v>
      </c>
    </row>
    <row r="613" spans="1:48" x14ac:dyDescent="0.3">
      <c r="A613" t="s">
        <v>883</v>
      </c>
      <c r="C613" t="s">
        <v>1234</v>
      </c>
      <c r="E613" t="s">
        <v>1234</v>
      </c>
      <c r="G613" t="s">
        <v>1234</v>
      </c>
      <c r="J613" t="s">
        <v>1234</v>
      </c>
      <c r="L613" t="s">
        <v>1234</v>
      </c>
      <c r="R613" t="s">
        <v>1234</v>
      </c>
      <c r="S613" t="s">
        <v>1234</v>
      </c>
      <c r="U613" t="s">
        <v>1234</v>
      </c>
      <c r="Y613" t="s">
        <v>1234</v>
      </c>
      <c r="AA613" t="s">
        <v>1234</v>
      </c>
      <c r="AG613" t="s">
        <v>1234</v>
      </c>
      <c r="AM613" t="s">
        <v>1234</v>
      </c>
      <c r="AO613" t="s">
        <v>1234</v>
      </c>
      <c r="AQ613" t="s">
        <v>1234</v>
      </c>
      <c r="AU613" t="s">
        <v>1234</v>
      </c>
      <c r="AV613" t="s">
        <v>1234</v>
      </c>
    </row>
    <row r="614" spans="1:48" x14ac:dyDescent="0.3">
      <c r="A614" t="s">
        <v>888</v>
      </c>
      <c r="C614" t="s">
        <v>1234</v>
      </c>
      <c r="E614" t="s">
        <v>1234</v>
      </c>
      <c r="G614" t="s">
        <v>1234</v>
      </c>
      <c r="R614" t="s">
        <v>1234</v>
      </c>
      <c r="S614" t="s">
        <v>1234</v>
      </c>
      <c r="U614" t="s">
        <v>1234</v>
      </c>
      <c r="Y614" t="s">
        <v>1234</v>
      </c>
      <c r="AA614" t="s">
        <v>1234</v>
      </c>
      <c r="AG614" t="s">
        <v>1234</v>
      </c>
      <c r="AM614" t="s">
        <v>1234</v>
      </c>
      <c r="AO614" t="s">
        <v>1234</v>
      </c>
      <c r="AQ614" t="s">
        <v>1234</v>
      </c>
      <c r="AU614" t="s">
        <v>1234</v>
      </c>
      <c r="AV614" t="s">
        <v>1234</v>
      </c>
    </row>
    <row r="615" spans="1:48" x14ac:dyDescent="0.3">
      <c r="A615" t="s">
        <v>894</v>
      </c>
      <c r="C615" t="s">
        <v>1234</v>
      </c>
      <c r="E615" t="s">
        <v>1234</v>
      </c>
      <c r="G615" t="s">
        <v>1234</v>
      </c>
      <c r="R615" t="s">
        <v>1234</v>
      </c>
      <c r="S615" t="s">
        <v>1234</v>
      </c>
      <c r="X615" t="s">
        <v>1234</v>
      </c>
      <c r="AC615" t="s">
        <v>1234</v>
      </c>
      <c r="AE615" t="s">
        <v>1234</v>
      </c>
      <c r="AF615" t="s">
        <v>1234</v>
      </c>
      <c r="AM615" t="s">
        <v>1234</v>
      </c>
      <c r="AO615" t="s">
        <v>1234</v>
      </c>
      <c r="AQ615" t="s">
        <v>1234</v>
      </c>
      <c r="AU615" t="s">
        <v>1234</v>
      </c>
      <c r="AV615" t="s">
        <v>1234</v>
      </c>
    </row>
    <row r="616" spans="1:48" x14ac:dyDescent="0.3">
      <c r="A616" t="s">
        <v>902</v>
      </c>
      <c r="C616" t="s">
        <v>1234</v>
      </c>
      <c r="E616" t="s">
        <v>1234</v>
      </c>
      <c r="G616" t="s">
        <v>1234</v>
      </c>
      <c r="R616" t="s">
        <v>1234</v>
      </c>
      <c r="S616" t="s">
        <v>1234</v>
      </c>
      <c r="X616" t="s">
        <v>1234</v>
      </c>
      <c r="AC616" t="s">
        <v>1234</v>
      </c>
      <c r="AE616" t="s">
        <v>1234</v>
      </c>
      <c r="AF616" t="s">
        <v>1234</v>
      </c>
      <c r="AM616" t="s">
        <v>1234</v>
      </c>
      <c r="AO616" t="s">
        <v>1234</v>
      </c>
      <c r="AQ616" t="s">
        <v>1234</v>
      </c>
      <c r="AU616" t="s">
        <v>1234</v>
      </c>
      <c r="AV616" t="s">
        <v>1234</v>
      </c>
    </row>
    <row r="617" spans="1:48" x14ac:dyDescent="0.3">
      <c r="A617" t="s">
        <v>910</v>
      </c>
      <c r="C617" t="s">
        <v>1234</v>
      </c>
      <c r="E617" t="s">
        <v>1234</v>
      </c>
      <c r="G617" t="s">
        <v>1234</v>
      </c>
      <c r="R617" t="s">
        <v>1234</v>
      </c>
      <c r="S617" t="s">
        <v>1234</v>
      </c>
      <c r="X617" t="s">
        <v>1234</v>
      </c>
      <c r="AC617" t="s">
        <v>1234</v>
      </c>
      <c r="AE617" t="s">
        <v>1234</v>
      </c>
      <c r="AF617" t="s">
        <v>1234</v>
      </c>
      <c r="AM617" t="s">
        <v>1234</v>
      </c>
      <c r="AO617" t="s">
        <v>1234</v>
      </c>
      <c r="AQ617" t="s">
        <v>1234</v>
      </c>
      <c r="AU617" t="s">
        <v>1234</v>
      </c>
      <c r="AV617" t="s">
        <v>1234</v>
      </c>
    </row>
    <row r="618" spans="1:48" x14ac:dyDescent="0.3">
      <c r="A618" t="s">
        <v>915</v>
      </c>
      <c r="C618" t="s">
        <v>1234</v>
      </c>
      <c r="E618" t="s">
        <v>1234</v>
      </c>
      <c r="G618" t="s">
        <v>1234</v>
      </c>
      <c r="R618" t="s">
        <v>1234</v>
      </c>
      <c r="S618" t="s">
        <v>1234</v>
      </c>
      <c r="X618" t="s">
        <v>1234</v>
      </c>
      <c r="AC618" t="s">
        <v>1234</v>
      </c>
      <c r="AE618" t="s">
        <v>1234</v>
      </c>
      <c r="AF618" t="s">
        <v>1234</v>
      </c>
      <c r="AM618" t="s">
        <v>1234</v>
      </c>
      <c r="AO618" t="s">
        <v>1234</v>
      </c>
      <c r="AQ618" t="s">
        <v>1234</v>
      </c>
      <c r="AU618" t="s">
        <v>1234</v>
      </c>
      <c r="AV618" t="s">
        <v>1234</v>
      </c>
    </row>
    <row r="619" spans="1:48" x14ac:dyDescent="0.3">
      <c r="A619" t="s">
        <v>921</v>
      </c>
      <c r="C619" t="s">
        <v>1234</v>
      </c>
      <c r="E619" t="s">
        <v>1234</v>
      </c>
      <c r="G619" t="s">
        <v>1234</v>
      </c>
      <c r="R619" t="s">
        <v>1234</v>
      </c>
      <c r="S619" t="s">
        <v>1234</v>
      </c>
      <c r="X619" t="s">
        <v>1234</v>
      </c>
      <c r="AC619" t="s">
        <v>1234</v>
      </c>
      <c r="AE619" t="s">
        <v>1234</v>
      </c>
      <c r="AF619" t="s">
        <v>1234</v>
      </c>
      <c r="AM619" t="s">
        <v>1234</v>
      </c>
      <c r="AO619" t="s">
        <v>1234</v>
      </c>
      <c r="AQ619" t="s">
        <v>1234</v>
      </c>
      <c r="AU619" t="s">
        <v>1234</v>
      </c>
      <c r="AV619" t="s">
        <v>1234</v>
      </c>
    </row>
    <row r="620" spans="1:48" x14ac:dyDescent="0.3">
      <c r="A620" t="s">
        <v>928</v>
      </c>
      <c r="C620" t="s">
        <v>1234</v>
      </c>
      <c r="E620" t="s">
        <v>1234</v>
      </c>
      <c r="G620" t="s">
        <v>1234</v>
      </c>
      <c r="R620" t="s">
        <v>1234</v>
      </c>
      <c r="S620" t="s">
        <v>1234</v>
      </c>
      <c r="U620" t="s">
        <v>1234</v>
      </c>
      <c r="Y620" t="s">
        <v>1234</v>
      </c>
      <c r="AA620" t="s">
        <v>1234</v>
      </c>
      <c r="AG620" t="s">
        <v>1234</v>
      </c>
      <c r="AM620" t="s">
        <v>1234</v>
      </c>
      <c r="AO620" t="s">
        <v>1234</v>
      </c>
      <c r="AQ620" t="s">
        <v>1234</v>
      </c>
      <c r="AU620" t="s">
        <v>1234</v>
      </c>
      <c r="AV620" t="s">
        <v>1234</v>
      </c>
    </row>
    <row r="621" spans="1:48" x14ac:dyDescent="0.3">
      <c r="A621" t="s">
        <v>936</v>
      </c>
      <c r="C621" t="s">
        <v>1234</v>
      </c>
      <c r="E621" t="s">
        <v>1234</v>
      </c>
      <c r="G621" t="s">
        <v>1234</v>
      </c>
      <c r="J621" t="s">
        <v>1234</v>
      </c>
      <c r="L621" t="s">
        <v>1234</v>
      </c>
      <c r="R621" t="s">
        <v>1234</v>
      </c>
      <c r="S621" t="s">
        <v>1234</v>
      </c>
      <c r="U621" t="s">
        <v>1234</v>
      </c>
      <c r="Y621" t="s">
        <v>1234</v>
      </c>
      <c r="AA621" t="s">
        <v>1234</v>
      </c>
      <c r="AG621" t="s">
        <v>1234</v>
      </c>
      <c r="AM621" t="s">
        <v>1234</v>
      </c>
      <c r="AO621" t="s">
        <v>1234</v>
      </c>
      <c r="AQ621" t="s">
        <v>1234</v>
      </c>
      <c r="AU621" t="s">
        <v>1234</v>
      </c>
      <c r="AV621" t="s">
        <v>1234</v>
      </c>
    </row>
    <row r="622" spans="1:48" x14ac:dyDescent="0.3">
      <c r="A622" t="s">
        <v>941</v>
      </c>
      <c r="C622" t="s">
        <v>1234</v>
      </c>
      <c r="E622" t="s">
        <v>1234</v>
      </c>
      <c r="G622" t="s">
        <v>1234</v>
      </c>
      <c r="J622" t="s">
        <v>1234</v>
      </c>
      <c r="L622" t="s">
        <v>1234</v>
      </c>
      <c r="R622" t="s">
        <v>1234</v>
      </c>
      <c r="S622" t="s">
        <v>1234</v>
      </c>
      <c r="U622" t="s">
        <v>1234</v>
      </c>
      <c r="Y622" t="s">
        <v>1234</v>
      </c>
      <c r="AA622" t="s">
        <v>1234</v>
      </c>
      <c r="AG622" t="s">
        <v>1234</v>
      </c>
      <c r="AM622" t="s">
        <v>1234</v>
      </c>
      <c r="AO622" t="s">
        <v>1234</v>
      </c>
      <c r="AQ622" t="s">
        <v>1234</v>
      </c>
      <c r="AU622" t="s">
        <v>1234</v>
      </c>
      <c r="AV622" t="s">
        <v>1234</v>
      </c>
    </row>
    <row r="623" spans="1:48" x14ac:dyDescent="0.3">
      <c r="A623" t="s">
        <v>947</v>
      </c>
      <c r="C623" t="s">
        <v>1234</v>
      </c>
      <c r="E623" t="s">
        <v>1234</v>
      </c>
      <c r="G623" t="s">
        <v>1234</v>
      </c>
      <c r="J623" t="s">
        <v>1234</v>
      </c>
      <c r="L623" t="s">
        <v>1234</v>
      </c>
      <c r="R623" t="s">
        <v>1234</v>
      </c>
      <c r="S623" t="s">
        <v>1234</v>
      </c>
      <c r="U623" t="s">
        <v>1234</v>
      </c>
      <c r="Y623" t="s">
        <v>1234</v>
      </c>
      <c r="AA623" t="s">
        <v>1234</v>
      </c>
      <c r="AG623" t="s">
        <v>1234</v>
      </c>
      <c r="AM623" t="s">
        <v>1234</v>
      </c>
      <c r="AO623" t="s">
        <v>1234</v>
      </c>
      <c r="AQ623" t="s">
        <v>1234</v>
      </c>
      <c r="AU623" t="s">
        <v>1234</v>
      </c>
      <c r="AV623" t="s">
        <v>1234</v>
      </c>
    </row>
    <row r="624" spans="1:48" x14ac:dyDescent="0.3">
      <c r="A624" t="s">
        <v>953</v>
      </c>
      <c r="C624" t="s">
        <v>1234</v>
      </c>
      <c r="E624" t="s">
        <v>1234</v>
      </c>
      <c r="G624" t="s">
        <v>1234</v>
      </c>
      <c r="J624" t="s">
        <v>1234</v>
      </c>
      <c r="L624" t="s">
        <v>1234</v>
      </c>
      <c r="R624" t="s">
        <v>1234</v>
      </c>
      <c r="S624" t="s">
        <v>1234</v>
      </c>
      <c r="U624" t="s">
        <v>1234</v>
      </c>
      <c r="Y624" t="s">
        <v>1234</v>
      </c>
      <c r="AA624" t="s">
        <v>1234</v>
      </c>
      <c r="AG624" t="s">
        <v>1234</v>
      </c>
      <c r="AM624" t="s">
        <v>1234</v>
      </c>
      <c r="AO624" t="s">
        <v>1234</v>
      </c>
      <c r="AQ624" t="s">
        <v>1234</v>
      </c>
      <c r="AU624" t="s">
        <v>1234</v>
      </c>
      <c r="AV624" t="s">
        <v>1234</v>
      </c>
    </row>
    <row r="625" spans="1:48" x14ac:dyDescent="0.3">
      <c r="A625" t="s">
        <v>958</v>
      </c>
      <c r="C625" t="s">
        <v>1234</v>
      </c>
      <c r="E625" t="s">
        <v>1234</v>
      </c>
      <c r="G625" t="s">
        <v>1234</v>
      </c>
      <c r="J625" t="s">
        <v>1234</v>
      </c>
      <c r="L625" t="s">
        <v>1234</v>
      </c>
      <c r="R625" t="s">
        <v>1234</v>
      </c>
      <c r="S625" t="s">
        <v>1234</v>
      </c>
      <c r="U625" t="s">
        <v>1234</v>
      </c>
      <c r="Y625" t="s">
        <v>1234</v>
      </c>
      <c r="AA625" t="s">
        <v>1234</v>
      </c>
      <c r="AG625" t="s">
        <v>1234</v>
      </c>
      <c r="AM625" t="s">
        <v>1234</v>
      </c>
      <c r="AO625" t="s">
        <v>1234</v>
      </c>
      <c r="AQ625" t="s">
        <v>1234</v>
      </c>
      <c r="AU625" t="s">
        <v>1234</v>
      </c>
      <c r="AV625" t="s">
        <v>1234</v>
      </c>
    </row>
    <row r="626" spans="1:48" x14ac:dyDescent="0.3">
      <c r="A626" t="s">
        <v>962</v>
      </c>
      <c r="C626" t="s">
        <v>1234</v>
      </c>
      <c r="E626" t="s">
        <v>1234</v>
      </c>
      <c r="G626" t="s">
        <v>1234</v>
      </c>
      <c r="R626" t="s">
        <v>1234</v>
      </c>
      <c r="S626" t="s">
        <v>1234</v>
      </c>
      <c r="U626" t="s">
        <v>1234</v>
      </c>
      <c r="Y626" t="s">
        <v>1234</v>
      </c>
      <c r="AA626" t="s">
        <v>1234</v>
      </c>
      <c r="AG626" t="s">
        <v>1234</v>
      </c>
      <c r="AM626" t="s">
        <v>1234</v>
      </c>
      <c r="AO626" t="s">
        <v>1234</v>
      </c>
      <c r="AQ626" t="s">
        <v>1234</v>
      </c>
      <c r="AU626" t="s">
        <v>1234</v>
      </c>
      <c r="AV626" t="s">
        <v>1234</v>
      </c>
    </row>
    <row r="627" spans="1:48" x14ac:dyDescent="0.3">
      <c r="A627" t="s">
        <v>968</v>
      </c>
      <c r="C627" t="s">
        <v>1234</v>
      </c>
      <c r="E627" t="s">
        <v>1234</v>
      </c>
      <c r="G627" t="s">
        <v>1234</v>
      </c>
      <c r="R627" t="s">
        <v>1234</v>
      </c>
      <c r="S627" t="s">
        <v>1234</v>
      </c>
      <c r="X627" t="s">
        <v>1234</v>
      </c>
      <c r="AC627" t="s">
        <v>1234</v>
      </c>
      <c r="AE627" t="s">
        <v>1234</v>
      </c>
      <c r="AF627" t="s">
        <v>1234</v>
      </c>
      <c r="AM627" t="s">
        <v>1234</v>
      </c>
      <c r="AO627" t="s">
        <v>1234</v>
      </c>
      <c r="AQ627" t="s">
        <v>1234</v>
      </c>
      <c r="AU627" t="s">
        <v>1234</v>
      </c>
      <c r="AV627" t="s">
        <v>1234</v>
      </c>
    </row>
    <row r="628" spans="1:48" x14ac:dyDescent="0.3">
      <c r="A628" t="s">
        <v>972</v>
      </c>
      <c r="C628" t="s">
        <v>1234</v>
      </c>
      <c r="E628" t="s">
        <v>1234</v>
      </c>
      <c r="G628" t="s">
        <v>1234</v>
      </c>
      <c r="R628" t="s">
        <v>1234</v>
      </c>
      <c r="S628" t="s">
        <v>1234</v>
      </c>
      <c r="X628" t="s">
        <v>1234</v>
      </c>
      <c r="AC628" t="s">
        <v>1234</v>
      </c>
      <c r="AE628" t="s">
        <v>1234</v>
      </c>
      <c r="AF628" t="s">
        <v>1234</v>
      </c>
      <c r="AM628" t="s">
        <v>1234</v>
      </c>
      <c r="AO628" t="s">
        <v>1234</v>
      </c>
      <c r="AQ628" t="s">
        <v>1234</v>
      </c>
      <c r="AU628" t="s">
        <v>1234</v>
      </c>
      <c r="AV628" t="s">
        <v>1234</v>
      </c>
    </row>
    <row r="629" spans="1:48" x14ac:dyDescent="0.3">
      <c r="A629" t="s">
        <v>978</v>
      </c>
      <c r="C629" t="s">
        <v>1234</v>
      </c>
      <c r="E629" t="s">
        <v>1234</v>
      </c>
      <c r="G629" t="s">
        <v>1234</v>
      </c>
      <c r="R629" t="s">
        <v>1234</v>
      </c>
      <c r="S629" t="s">
        <v>1234</v>
      </c>
      <c r="X629" t="s">
        <v>1234</v>
      </c>
      <c r="AC629" t="s">
        <v>1234</v>
      </c>
      <c r="AE629" t="s">
        <v>1234</v>
      </c>
      <c r="AF629" t="s">
        <v>1234</v>
      </c>
      <c r="AM629" t="s">
        <v>1234</v>
      </c>
      <c r="AO629" t="s">
        <v>1234</v>
      </c>
      <c r="AQ629" t="s">
        <v>1234</v>
      </c>
      <c r="AU629" t="s">
        <v>1234</v>
      </c>
      <c r="AV629" t="s">
        <v>1234</v>
      </c>
    </row>
    <row r="630" spans="1:48" x14ac:dyDescent="0.3">
      <c r="A630" t="s">
        <v>983</v>
      </c>
      <c r="C630" t="s">
        <v>1234</v>
      </c>
      <c r="E630" t="s">
        <v>1234</v>
      </c>
      <c r="G630" t="s">
        <v>1234</v>
      </c>
      <c r="R630" t="s">
        <v>1234</v>
      </c>
      <c r="S630" t="s">
        <v>1234</v>
      </c>
      <c r="X630" t="s">
        <v>1234</v>
      </c>
      <c r="AC630" t="s">
        <v>1234</v>
      </c>
      <c r="AE630" t="s">
        <v>1234</v>
      </c>
      <c r="AF630" t="s">
        <v>1234</v>
      </c>
      <c r="AM630" t="s">
        <v>1234</v>
      </c>
      <c r="AO630" t="s">
        <v>1234</v>
      </c>
      <c r="AQ630" t="s">
        <v>1234</v>
      </c>
      <c r="AU630" t="s">
        <v>1234</v>
      </c>
      <c r="AV630" t="s">
        <v>1234</v>
      </c>
    </row>
    <row r="631" spans="1:48" x14ac:dyDescent="0.3">
      <c r="A631" t="s">
        <v>987</v>
      </c>
      <c r="C631" t="s">
        <v>1234</v>
      </c>
      <c r="E631" t="s">
        <v>1234</v>
      </c>
      <c r="G631" t="s">
        <v>1234</v>
      </c>
      <c r="R631" t="s">
        <v>1234</v>
      </c>
      <c r="S631" t="s">
        <v>1234</v>
      </c>
      <c r="X631" t="s">
        <v>1234</v>
      </c>
      <c r="AC631" t="s">
        <v>1234</v>
      </c>
      <c r="AE631" t="s">
        <v>1234</v>
      </c>
      <c r="AF631" t="s">
        <v>1234</v>
      </c>
      <c r="AM631" t="s">
        <v>1234</v>
      </c>
      <c r="AO631" t="s">
        <v>1234</v>
      </c>
      <c r="AQ631" t="s">
        <v>1234</v>
      </c>
      <c r="AU631" t="s">
        <v>1234</v>
      </c>
      <c r="AV631" t="s">
        <v>1234</v>
      </c>
    </row>
    <row r="632" spans="1:48" x14ac:dyDescent="0.3">
      <c r="A632" t="s">
        <v>991</v>
      </c>
      <c r="C632" t="s">
        <v>1234</v>
      </c>
      <c r="E632" t="s">
        <v>1234</v>
      </c>
      <c r="G632" t="s">
        <v>1234</v>
      </c>
      <c r="R632" t="s">
        <v>1234</v>
      </c>
      <c r="S632" t="s">
        <v>1234</v>
      </c>
      <c r="U632" t="s">
        <v>1234</v>
      </c>
      <c r="Y632" t="s">
        <v>1234</v>
      </c>
      <c r="AA632" t="s">
        <v>1234</v>
      </c>
      <c r="AG632" t="s">
        <v>1234</v>
      </c>
      <c r="AM632" t="s">
        <v>1234</v>
      </c>
      <c r="AO632" t="s">
        <v>1234</v>
      </c>
      <c r="AQ632" t="s">
        <v>1234</v>
      </c>
      <c r="AU632" t="s">
        <v>1234</v>
      </c>
      <c r="AV632" t="s">
        <v>1234</v>
      </c>
    </row>
    <row r="633" spans="1:48" x14ac:dyDescent="0.3">
      <c r="A633" t="s">
        <v>996</v>
      </c>
      <c r="C633" t="s">
        <v>1234</v>
      </c>
      <c r="E633" t="s">
        <v>1234</v>
      </c>
      <c r="G633" t="s">
        <v>1234</v>
      </c>
      <c r="J633" t="s">
        <v>1234</v>
      </c>
      <c r="L633" t="s">
        <v>1234</v>
      </c>
      <c r="R633" t="s">
        <v>1234</v>
      </c>
      <c r="S633" t="s">
        <v>1234</v>
      </c>
      <c r="U633" t="s">
        <v>1234</v>
      </c>
      <c r="Y633" t="s">
        <v>1234</v>
      </c>
      <c r="AA633" t="s">
        <v>1234</v>
      </c>
      <c r="AG633" t="s">
        <v>1234</v>
      </c>
      <c r="AM633" t="s">
        <v>1234</v>
      </c>
      <c r="AO633" t="s">
        <v>1234</v>
      </c>
      <c r="AQ633" t="s">
        <v>1234</v>
      </c>
      <c r="AU633" t="s">
        <v>1234</v>
      </c>
      <c r="AV633" t="s">
        <v>1234</v>
      </c>
    </row>
    <row r="634" spans="1:48" x14ac:dyDescent="0.3">
      <c r="A634" t="s">
        <v>1001</v>
      </c>
      <c r="C634" t="s">
        <v>1234</v>
      </c>
      <c r="E634" t="s">
        <v>1234</v>
      </c>
      <c r="G634" t="s">
        <v>1234</v>
      </c>
      <c r="J634" t="s">
        <v>1234</v>
      </c>
      <c r="L634" t="s">
        <v>1234</v>
      </c>
      <c r="R634" t="s">
        <v>1234</v>
      </c>
      <c r="S634" t="s">
        <v>1234</v>
      </c>
      <c r="U634" t="s">
        <v>1234</v>
      </c>
      <c r="Y634" t="s">
        <v>1234</v>
      </c>
      <c r="AA634" t="s">
        <v>1234</v>
      </c>
      <c r="AG634" t="s">
        <v>1234</v>
      </c>
      <c r="AM634" t="s">
        <v>1234</v>
      </c>
      <c r="AO634" t="s">
        <v>1234</v>
      </c>
      <c r="AQ634" t="s">
        <v>1234</v>
      </c>
      <c r="AU634" t="s">
        <v>1234</v>
      </c>
      <c r="AV634" t="s">
        <v>1234</v>
      </c>
    </row>
    <row r="635" spans="1:48" x14ac:dyDescent="0.3">
      <c r="A635" t="s">
        <v>1011</v>
      </c>
      <c r="C635" t="s">
        <v>1234</v>
      </c>
      <c r="E635" t="s">
        <v>1234</v>
      </c>
      <c r="G635" t="s">
        <v>1234</v>
      </c>
      <c r="J635" t="s">
        <v>1234</v>
      </c>
      <c r="L635" t="s">
        <v>1234</v>
      </c>
      <c r="R635" t="s">
        <v>1234</v>
      </c>
      <c r="S635" t="s">
        <v>1234</v>
      </c>
      <c r="U635" t="s">
        <v>1234</v>
      </c>
      <c r="Y635" t="s">
        <v>1234</v>
      </c>
      <c r="AA635" t="s">
        <v>1234</v>
      </c>
      <c r="AG635" t="s">
        <v>1234</v>
      </c>
      <c r="AM635" t="s">
        <v>1234</v>
      </c>
      <c r="AO635" t="s">
        <v>1234</v>
      </c>
      <c r="AQ635" t="s">
        <v>1234</v>
      </c>
      <c r="AU635" t="s">
        <v>1234</v>
      </c>
      <c r="AV635" t="s">
        <v>1234</v>
      </c>
    </row>
    <row r="636" spans="1:48" x14ac:dyDescent="0.3">
      <c r="A636" t="s">
        <v>1018</v>
      </c>
      <c r="C636" t="s">
        <v>1234</v>
      </c>
      <c r="E636" t="s">
        <v>1234</v>
      </c>
      <c r="G636" t="s">
        <v>1234</v>
      </c>
      <c r="J636" t="s">
        <v>1234</v>
      </c>
      <c r="L636" t="s">
        <v>1234</v>
      </c>
      <c r="R636" t="s">
        <v>1234</v>
      </c>
      <c r="S636" t="s">
        <v>1234</v>
      </c>
      <c r="U636" t="s">
        <v>1234</v>
      </c>
      <c r="Y636" t="s">
        <v>1234</v>
      </c>
      <c r="AA636" t="s">
        <v>1234</v>
      </c>
      <c r="AG636" t="s">
        <v>1234</v>
      </c>
      <c r="AM636" t="s">
        <v>1234</v>
      </c>
      <c r="AO636" t="s">
        <v>1234</v>
      </c>
      <c r="AQ636" t="s">
        <v>1234</v>
      </c>
      <c r="AU636" t="s">
        <v>1234</v>
      </c>
      <c r="AV636" t="s">
        <v>1234</v>
      </c>
    </row>
    <row r="637" spans="1:48" x14ac:dyDescent="0.3">
      <c r="A637" t="s">
        <v>1028</v>
      </c>
      <c r="C637" t="s">
        <v>1234</v>
      </c>
      <c r="E637" t="s">
        <v>1234</v>
      </c>
      <c r="G637" t="s">
        <v>1234</v>
      </c>
      <c r="J637" t="s">
        <v>1234</v>
      </c>
      <c r="L637" t="s">
        <v>1234</v>
      </c>
      <c r="R637" t="s">
        <v>1234</v>
      </c>
      <c r="S637" t="s">
        <v>1234</v>
      </c>
      <c r="U637" t="s">
        <v>1234</v>
      </c>
      <c r="Y637" t="s">
        <v>1234</v>
      </c>
      <c r="AA637" t="s">
        <v>1234</v>
      </c>
      <c r="AG637" t="s">
        <v>1234</v>
      </c>
      <c r="AM637" t="s">
        <v>1234</v>
      </c>
      <c r="AO637" t="s">
        <v>1234</v>
      </c>
      <c r="AQ637" t="s">
        <v>1234</v>
      </c>
      <c r="AU637" t="s">
        <v>1234</v>
      </c>
      <c r="AV637" t="s">
        <v>1234</v>
      </c>
    </row>
    <row r="638" spans="1:48" x14ac:dyDescent="0.3">
      <c r="A638" t="s">
        <v>1035</v>
      </c>
      <c r="C638" t="s">
        <v>1234</v>
      </c>
      <c r="E638" t="s">
        <v>1234</v>
      </c>
      <c r="G638" t="s">
        <v>1234</v>
      </c>
      <c r="R638" t="s">
        <v>1234</v>
      </c>
      <c r="S638" t="s">
        <v>1234</v>
      </c>
      <c r="U638" t="s">
        <v>1234</v>
      </c>
      <c r="Y638" t="s">
        <v>1234</v>
      </c>
      <c r="AA638" t="s">
        <v>1234</v>
      </c>
      <c r="AG638" t="s">
        <v>1234</v>
      </c>
      <c r="AM638" t="s">
        <v>1234</v>
      </c>
      <c r="AO638" t="s">
        <v>1234</v>
      </c>
      <c r="AQ638" t="s">
        <v>1234</v>
      </c>
      <c r="AU638" t="s">
        <v>1234</v>
      </c>
      <c r="AV638" t="s">
        <v>1234</v>
      </c>
    </row>
    <row r="639" spans="1:48" x14ac:dyDescent="0.3">
      <c r="A639" t="s">
        <v>1039</v>
      </c>
      <c r="C639" t="s">
        <v>1234</v>
      </c>
      <c r="E639" t="s">
        <v>1234</v>
      </c>
      <c r="G639" t="s">
        <v>1234</v>
      </c>
      <c r="R639" t="s">
        <v>1234</v>
      </c>
      <c r="S639" t="s">
        <v>1234</v>
      </c>
      <c r="X639" t="s">
        <v>1234</v>
      </c>
      <c r="AC639" t="s">
        <v>1234</v>
      </c>
      <c r="AE639" t="s">
        <v>1234</v>
      </c>
      <c r="AF639" t="s">
        <v>1234</v>
      </c>
      <c r="AM639" t="s">
        <v>1234</v>
      </c>
      <c r="AO639" t="s">
        <v>1234</v>
      </c>
      <c r="AQ639" t="s">
        <v>1234</v>
      </c>
      <c r="AU639" t="s">
        <v>1234</v>
      </c>
      <c r="AV639" t="s">
        <v>1234</v>
      </c>
    </row>
    <row r="640" spans="1:48" x14ac:dyDescent="0.3">
      <c r="A640" t="s">
        <v>1046</v>
      </c>
      <c r="C640" t="s">
        <v>1234</v>
      </c>
      <c r="E640" t="s">
        <v>1234</v>
      </c>
      <c r="G640" t="s">
        <v>1234</v>
      </c>
      <c r="R640" t="s">
        <v>1234</v>
      </c>
      <c r="S640" t="s">
        <v>1234</v>
      </c>
      <c r="X640" t="s">
        <v>1234</v>
      </c>
      <c r="AC640" t="s">
        <v>1234</v>
      </c>
      <c r="AE640" t="s">
        <v>1234</v>
      </c>
      <c r="AF640" t="s">
        <v>1234</v>
      </c>
      <c r="AM640" t="s">
        <v>1234</v>
      </c>
      <c r="AO640" t="s">
        <v>1234</v>
      </c>
      <c r="AQ640" t="s">
        <v>1234</v>
      </c>
      <c r="AU640" t="s">
        <v>1234</v>
      </c>
      <c r="AV640" t="s">
        <v>1234</v>
      </c>
    </row>
    <row r="641" spans="1:48" x14ac:dyDescent="0.3">
      <c r="A641" t="s">
        <v>1052</v>
      </c>
      <c r="C641" t="s">
        <v>1234</v>
      </c>
      <c r="E641" t="s">
        <v>1234</v>
      </c>
      <c r="G641" t="s">
        <v>1234</v>
      </c>
      <c r="R641" t="s">
        <v>1234</v>
      </c>
      <c r="S641" t="s">
        <v>1234</v>
      </c>
      <c r="X641" t="s">
        <v>1234</v>
      </c>
      <c r="AC641" t="s">
        <v>1234</v>
      </c>
      <c r="AE641" t="s">
        <v>1234</v>
      </c>
      <c r="AF641" t="s">
        <v>1234</v>
      </c>
      <c r="AM641" t="s">
        <v>1234</v>
      </c>
      <c r="AO641" t="s">
        <v>1234</v>
      </c>
      <c r="AQ641" t="s">
        <v>1234</v>
      </c>
      <c r="AU641" t="s">
        <v>1234</v>
      </c>
      <c r="AV641" t="s">
        <v>1234</v>
      </c>
    </row>
    <row r="642" spans="1:48" x14ac:dyDescent="0.3">
      <c r="A642" t="s">
        <v>1059</v>
      </c>
      <c r="C642" t="s">
        <v>1234</v>
      </c>
      <c r="E642" t="s">
        <v>1234</v>
      </c>
      <c r="G642" t="s">
        <v>1234</v>
      </c>
      <c r="R642" t="s">
        <v>1234</v>
      </c>
      <c r="S642" t="s">
        <v>1234</v>
      </c>
      <c r="X642" t="s">
        <v>1234</v>
      </c>
      <c r="AC642" t="s">
        <v>1234</v>
      </c>
      <c r="AE642" t="s">
        <v>1234</v>
      </c>
      <c r="AF642" t="s">
        <v>1234</v>
      </c>
      <c r="AM642" t="s">
        <v>1234</v>
      </c>
      <c r="AO642" t="s">
        <v>1234</v>
      </c>
      <c r="AQ642" t="s">
        <v>1234</v>
      </c>
      <c r="AU642" t="s">
        <v>1234</v>
      </c>
      <c r="AV642" t="s">
        <v>1234</v>
      </c>
    </row>
    <row r="643" spans="1:48" x14ac:dyDescent="0.3">
      <c r="A643" t="s">
        <v>1064</v>
      </c>
      <c r="C643" t="s">
        <v>1234</v>
      </c>
      <c r="E643" t="s">
        <v>1234</v>
      </c>
      <c r="G643" t="s">
        <v>1234</v>
      </c>
      <c r="R643" t="s">
        <v>1234</v>
      </c>
      <c r="S643" t="s">
        <v>1234</v>
      </c>
      <c r="X643" t="s">
        <v>1234</v>
      </c>
      <c r="AC643" t="s">
        <v>1234</v>
      </c>
      <c r="AE643" t="s">
        <v>1234</v>
      </c>
      <c r="AF643" t="s">
        <v>1234</v>
      </c>
      <c r="AM643" t="s">
        <v>1234</v>
      </c>
      <c r="AO643" t="s">
        <v>1234</v>
      </c>
      <c r="AQ643" t="s">
        <v>1234</v>
      </c>
      <c r="AU643" t="s">
        <v>1234</v>
      </c>
      <c r="AV643" t="s">
        <v>1234</v>
      </c>
    </row>
    <row r="644" spans="1:48" x14ac:dyDescent="0.3">
      <c r="A644" t="s">
        <v>1069</v>
      </c>
      <c r="C644" t="s">
        <v>1234</v>
      </c>
      <c r="E644" t="s">
        <v>1234</v>
      </c>
      <c r="G644" t="s">
        <v>1234</v>
      </c>
      <c r="R644" t="s">
        <v>1234</v>
      </c>
      <c r="S644" t="s">
        <v>1234</v>
      </c>
      <c r="U644" t="s">
        <v>1234</v>
      </c>
      <c r="Y644" t="s">
        <v>1234</v>
      </c>
      <c r="AA644" t="s">
        <v>1234</v>
      </c>
      <c r="AG644" t="s">
        <v>1234</v>
      </c>
      <c r="AM644" t="s">
        <v>1234</v>
      </c>
      <c r="AO644" t="s">
        <v>1234</v>
      </c>
      <c r="AQ644" t="s">
        <v>1234</v>
      </c>
      <c r="AU644" t="s">
        <v>1234</v>
      </c>
      <c r="AV644" t="s">
        <v>1234</v>
      </c>
    </row>
    <row r="645" spans="1:48" x14ac:dyDescent="0.3">
      <c r="A645" t="s">
        <v>1073</v>
      </c>
      <c r="C645" t="s">
        <v>1234</v>
      </c>
      <c r="E645" t="s">
        <v>1234</v>
      </c>
      <c r="G645" t="s">
        <v>1234</v>
      </c>
      <c r="J645" t="s">
        <v>1234</v>
      </c>
      <c r="L645" t="s">
        <v>1234</v>
      </c>
      <c r="R645" t="s">
        <v>1234</v>
      </c>
      <c r="S645" t="s">
        <v>1234</v>
      </c>
      <c r="U645" t="s">
        <v>1234</v>
      </c>
      <c r="Y645" t="s">
        <v>1234</v>
      </c>
      <c r="AA645" t="s">
        <v>1234</v>
      </c>
      <c r="AG645" t="s">
        <v>1234</v>
      </c>
      <c r="AM645" t="s">
        <v>1234</v>
      </c>
      <c r="AO645" t="s">
        <v>1234</v>
      </c>
      <c r="AQ645" t="s">
        <v>1234</v>
      </c>
      <c r="AU645" t="s">
        <v>1234</v>
      </c>
      <c r="AV645" t="s">
        <v>1234</v>
      </c>
    </row>
    <row r="646" spans="1:48" x14ac:dyDescent="0.3">
      <c r="A646" t="s">
        <v>1079</v>
      </c>
      <c r="C646" t="s">
        <v>1234</v>
      </c>
      <c r="E646" t="s">
        <v>1234</v>
      </c>
      <c r="G646" t="s">
        <v>1234</v>
      </c>
      <c r="J646" t="s">
        <v>1234</v>
      </c>
      <c r="L646" t="s">
        <v>1234</v>
      </c>
      <c r="R646" t="s">
        <v>1234</v>
      </c>
      <c r="S646" t="s">
        <v>1234</v>
      </c>
      <c r="U646" t="s">
        <v>1234</v>
      </c>
      <c r="Y646" t="s">
        <v>1234</v>
      </c>
      <c r="AA646" t="s">
        <v>1234</v>
      </c>
      <c r="AG646" t="s">
        <v>1234</v>
      </c>
      <c r="AM646" t="s">
        <v>1234</v>
      </c>
      <c r="AO646" t="s">
        <v>1234</v>
      </c>
      <c r="AQ646" t="s">
        <v>1234</v>
      </c>
      <c r="AU646" t="s">
        <v>1234</v>
      </c>
      <c r="AV646" t="s">
        <v>1234</v>
      </c>
    </row>
    <row r="647" spans="1:48" x14ac:dyDescent="0.3">
      <c r="A647" t="s">
        <v>1084</v>
      </c>
      <c r="C647" t="s">
        <v>1234</v>
      </c>
      <c r="E647" t="s">
        <v>1234</v>
      </c>
      <c r="G647" t="s">
        <v>1234</v>
      </c>
      <c r="J647" t="s">
        <v>1234</v>
      </c>
      <c r="L647" t="s">
        <v>1234</v>
      </c>
      <c r="R647" t="s">
        <v>1234</v>
      </c>
      <c r="S647" t="s">
        <v>1234</v>
      </c>
      <c r="U647" t="s">
        <v>1234</v>
      </c>
      <c r="Y647" t="s">
        <v>1234</v>
      </c>
      <c r="AA647" t="s">
        <v>1234</v>
      </c>
      <c r="AG647" t="s">
        <v>1234</v>
      </c>
      <c r="AM647" t="s">
        <v>1234</v>
      </c>
      <c r="AO647" t="s">
        <v>1234</v>
      </c>
      <c r="AQ647" t="s">
        <v>1234</v>
      </c>
      <c r="AU647" t="s">
        <v>1234</v>
      </c>
      <c r="AV647" t="s">
        <v>1234</v>
      </c>
    </row>
    <row r="648" spans="1:48" x14ac:dyDescent="0.3">
      <c r="A648" t="s">
        <v>1089</v>
      </c>
      <c r="C648" t="s">
        <v>1234</v>
      </c>
      <c r="E648" t="s">
        <v>1234</v>
      </c>
      <c r="G648" t="s">
        <v>1234</v>
      </c>
      <c r="J648" t="s">
        <v>1234</v>
      </c>
      <c r="L648" t="s">
        <v>1234</v>
      </c>
      <c r="R648" t="s">
        <v>1234</v>
      </c>
      <c r="S648" t="s">
        <v>1234</v>
      </c>
      <c r="U648" t="s">
        <v>1234</v>
      </c>
      <c r="Y648" t="s">
        <v>1234</v>
      </c>
      <c r="AA648" t="s">
        <v>1234</v>
      </c>
      <c r="AG648" t="s">
        <v>1234</v>
      </c>
      <c r="AM648" t="s">
        <v>1234</v>
      </c>
      <c r="AO648" t="s">
        <v>1234</v>
      </c>
      <c r="AQ648" t="s">
        <v>1234</v>
      </c>
      <c r="AU648" t="s">
        <v>1234</v>
      </c>
      <c r="AV648" t="s">
        <v>1234</v>
      </c>
    </row>
    <row r="649" spans="1:48" x14ac:dyDescent="0.3">
      <c r="A649" t="s">
        <v>1095</v>
      </c>
      <c r="C649" t="s">
        <v>1234</v>
      </c>
      <c r="E649" t="s">
        <v>1234</v>
      </c>
      <c r="G649" t="s">
        <v>1234</v>
      </c>
      <c r="J649" t="s">
        <v>1234</v>
      </c>
      <c r="L649" t="s">
        <v>1234</v>
      </c>
      <c r="R649" t="s">
        <v>1234</v>
      </c>
      <c r="S649" t="s">
        <v>1234</v>
      </c>
      <c r="U649" t="s">
        <v>1234</v>
      </c>
      <c r="Y649" t="s">
        <v>1234</v>
      </c>
      <c r="AA649" t="s">
        <v>1234</v>
      </c>
      <c r="AG649" t="s">
        <v>1234</v>
      </c>
      <c r="AM649" t="s">
        <v>1234</v>
      </c>
      <c r="AO649" t="s">
        <v>1234</v>
      </c>
      <c r="AQ649" t="s">
        <v>1234</v>
      </c>
      <c r="AU649" t="s">
        <v>1234</v>
      </c>
      <c r="AV649" t="s">
        <v>1234</v>
      </c>
    </row>
    <row r="650" spans="1:48" x14ac:dyDescent="0.3">
      <c r="A650" t="s">
        <v>1101</v>
      </c>
      <c r="C650" t="s">
        <v>1234</v>
      </c>
      <c r="E650" t="s">
        <v>1234</v>
      </c>
      <c r="G650" t="s">
        <v>1234</v>
      </c>
      <c r="R650" t="s">
        <v>1234</v>
      </c>
      <c r="S650" t="s">
        <v>1234</v>
      </c>
      <c r="U650" t="s">
        <v>1234</v>
      </c>
      <c r="Y650" t="s">
        <v>1234</v>
      </c>
      <c r="AA650" t="s">
        <v>1234</v>
      </c>
      <c r="AG650" t="s">
        <v>1234</v>
      </c>
      <c r="AM650" t="s">
        <v>1234</v>
      </c>
      <c r="AO650" t="s">
        <v>1234</v>
      </c>
      <c r="AQ650" t="s">
        <v>1234</v>
      </c>
      <c r="AU650" t="s">
        <v>1234</v>
      </c>
      <c r="AV650" t="s">
        <v>1234</v>
      </c>
    </row>
    <row r="651" spans="1:48" x14ac:dyDescent="0.3">
      <c r="A651" t="s">
        <v>1106</v>
      </c>
      <c r="C651" t="s">
        <v>1234</v>
      </c>
      <c r="E651" t="s">
        <v>1234</v>
      </c>
      <c r="G651" t="s">
        <v>1234</v>
      </c>
      <c r="R651" t="s">
        <v>1234</v>
      </c>
      <c r="S651" t="s">
        <v>1234</v>
      </c>
      <c r="X651" t="s">
        <v>1234</v>
      </c>
      <c r="AC651" t="s">
        <v>1234</v>
      </c>
      <c r="AE651" t="s">
        <v>1234</v>
      </c>
      <c r="AF651" t="s">
        <v>1234</v>
      </c>
      <c r="AM651" t="s">
        <v>1234</v>
      </c>
      <c r="AO651" t="s">
        <v>1234</v>
      </c>
      <c r="AQ651" t="s">
        <v>1234</v>
      </c>
      <c r="AU651" t="s">
        <v>1234</v>
      </c>
      <c r="AV651" t="s">
        <v>1234</v>
      </c>
    </row>
    <row r="652" spans="1:48" x14ac:dyDescent="0.3">
      <c r="A652" t="s">
        <v>1110</v>
      </c>
      <c r="C652" t="s">
        <v>1234</v>
      </c>
      <c r="E652" t="s">
        <v>1234</v>
      </c>
      <c r="G652" t="s">
        <v>1234</v>
      </c>
      <c r="R652" t="s">
        <v>1234</v>
      </c>
      <c r="S652" t="s">
        <v>1234</v>
      </c>
      <c r="X652" t="s">
        <v>1234</v>
      </c>
      <c r="AC652" t="s">
        <v>1234</v>
      </c>
      <c r="AE652" t="s">
        <v>1234</v>
      </c>
      <c r="AF652" t="s">
        <v>1234</v>
      </c>
      <c r="AM652" t="s">
        <v>1234</v>
      </c>
      <c r="AO652" t="s">
        <v>1234</v>
      </c>
      <c r="AQ652" t="s">
        <v>1234</v>
      </c>
      <c r="AU652" t="s">
        <v>1234</v>
      </c>
      <c r="AV652" t="s">
        <v>1234</v>
      </c>
    </row>
    <row r="653" spans="1:48" x14ac:dyDescent="0.3">
      <c r="A653" t="s">
        <v>1117</v>
      </c>
      <c r="C653" t="s">
        <v>1234</v>
      </c>
      <c r="E653" t="s">
        <v>1234</v>
      </c>
      <c r="G653" t="s">
        <v>1234</v>
      </c>
      <c r="R653" t="s">
        <v>1234</v>
      </c>
      <c r="S653" t="s">
        <v>1234</v>
      </c>
      <c r="X653" t="s">
        <v>1234</v>
      </c>
      <c r="AC653" t="s">
        <v>1234</v>
      </c>
      <c r="AE653" t="s">
        <v>1234</v>
      </c>
      <c r="AF653" t="s">
        <v>1234</v>
      </c>
      <c r="AM653" t="s">
        <v>1234</v>
      </c>
      <c r="AO653" t="s">
        <v>1234</v>
      </c>
      <c r="AQ653" t="s">
        <v>1234</v>
      </c>
      <c r="AU653" t="s">
        <v>1234</v>
      </c>
      <c r="AV653" t="s">
        <v>1234</v>
      </c>
    </row>
    <row r="654" spans="1:48" x14ac:dyDescent="0.3">
      <c r="A654" t="s">
        <v>1123</v>
      </c>
      <c r="C654" t="s">
        <v>1234</v>
      </c>
      <c r="E654" t="s">
        <v>1234</v>
      </c>
      <c r="G654" t="s">
        <v>1234</v>
      </c>
      <c r="R654" t="s">
        <v>1234</v>
      </c>
      <c r="S654" t="s">
        <v>1234</v>
      </c>
      <c r="X654" t="s">
        <v>1234</v>
      </c>
      <c r="AC654" t="s">
        <v>1234</v>
      </c>
      <c r="AE654" t="s">
        <v>1234</v>
      </c>
      <c r="AF654" t="s">
        <v>1234</v>
      </c>
      <c r="AM654" t="s">
        <v>1234</v>
      </c>
      <c r="AO654" t="s">
        <v>1234</v>
      </c>
      <c r="AQ654" t="s">
        <v>1234</v>
      </c>
      <c r="AU654" t="s">
        <v>1234</v>
      </c>
      <c r="AV654" t="s">
        <v>1234</v>
      </c>
    </row>
    <row r="655" spans="1:48" x14ac:dyDescent="0.3">
      <c r="A655" t="s">
        <v>1127</v>
      </c>
      <c r="C655" t="s">
        <v>1234</v>
      </c>
      <c r="E655" t="s">
        <v>1234</v>
      </c>
      <c r="G655" t="s">
        <v>1234</v>
      </c>
      <c r="R655" t="s">
        <v>1234</v>
      </c>
      <c r="S655" t="s">
        <v>1234</v>
      </c>
      <c r="X655" t="s">
        <v>1234</v>
      </c>
      <c r="AC655" t="s">
        <v>1234</v>
      </c>
      <c r="AE655" t="s">
        <v>1234</v>
      </c>
      <c r="AF655" t="s">
        <v>1234</v>
      </c>
      <c r="AM655" t="s">
        <v>1234</v>
      </c>
      <c r="AO655" t="s">
        <v>1234</v>
      </c>
      <c r="AQ655" t="s">
        <v>1234</v>
      </c>
      <c r="AU655" t="s">
        <v>1234</v>
      </c>
      <c r="AV655" t="s">
        <v>1234</v>
      </c>
    </row>
    <row r="656" spans="1:48" x14ac:dyDescent="0.3">
      <c r="A656" t="s">
        <v>1134</v>
      </c>
      <c r="C656" t="s">
        <v>1234</v>
      </c>
      <c r="E656" t="s">
        <v>1234</v>
      </c>
      <c r="G656" t="s">
        <v>1234</v>
      </c>
      <c r="R656" t="s">
        <v>1234</v>
      </c>
      <c r="S656" t="s">
        <v>1234</v>
      </c>
      <c r="U656" t="s">
        <v>1234</v>
      </c>
      <c r="Y656" t="s">
        <v>1234</v>
      </c>
      <c r="AA656" t="s">
        <v>1234</v>
      </c>
      <c r="AG656" t="s">
        <v>1234</v>
      </c>
      <c r="AM656" t="s">
        <v>1234</v>
      </c>
      <c r="AO656" t="s">
        <v>1234</v>
      </c>
      <c r="AQ656" t="s">
        <v>1234</v>
      </c>
      <c r="AU656" t="s">
        <v>1234</v>
      </c>
      <c r="AV656" t="s">
        <v>1234</v>
      </c>
    </row>
    <row r="657" spans="1:48" x14ac:dyDescent="0.3">
      <c r="A657" t="s">
        <v>1140</v>
      </c>
      <c r="C657" t="s">
        <v>1234</v>
      </c>
      <c r="E657" t="s">
        <v>1234</v>
      </c>
      <c r="G657" t="s">
        <v>1234</v>
      </c>
      <c r="J657" t="s">
        <v>1234</v>
      </c>
      <c r="L657" t="s">
        <v>1234</v>
      </c>
      <c r="R657" t="s">
        <v>1234</v>
      </c>
      <c r="S657" t="s">
        <v>1234</v>
      </c>
      <c r="U657" t="s">
        <v>1234</v>
      </c>
      <c r="Y657" t="s">
        <v>1234</v>
      </c>
      <c r="AA657" t="s">
        <v>1234</v>
      </c>
      <c r="AG657" t="s">
        <v>1234</v>
      </c>
      <c r="AM657" t="s">
        <v>1234</v>
      </c>
      <c r="AO657" t="s">
        <v>1234</v>
      </c>
      <c r="AQ657" t="s">
        <v>1234</v>
      </c>
      <c r="AU657" t="s">
        <v>1234</v>
      </c>
      <c r="AV657" t="s">
        <v>1234</v>
      </c>
    </row>
    <row r="658" spans="1:48" x14ac:dyDescent="0.3">
      <c r="A658" t="s">
        <v>1144</v>
      </c>
      <c r="C658" t="s">
        <v>1234</v>
      </c>
      <c r="E658" t="s">
        <v>1234</v>
      </c>
      <c r="G658" t="s">
        <v>1234</v>
      </c>
      <c r="J658" t="s">
        <v>1234</v>
      </c>
      <c r="L658" t="s">
        <v>1234</v>
      </c>
      <c r="R658" t="s">
        <v>1234</v>
      </c>
      <c r="S658" t="s">
        <v>1234</v>
      </c>
      <c r="U658" t="s">
        <v>1234</v>
      </c>
      <c r="Y658" t="s">
        <v>1234</v>
      </c>
      <c r="AA658" t="s">
        <v>1234</v>
      </c>
      <c r="AG658" t="s">
        <v>1234</v>
      </c>
      <c r="AM658" t="s">
        <v>1234</v>
      </c>
      <c r="AO658" t="s">
        <v>1234</v>
      </c>
      <c r="AQ658" t="s">
        <v>1234</v>
      </c>
      <c r="AU658" t="s">
        <v>1234</v>
      </c>
      <c r="AV658" t="s">
        <v>1234</v>
      </c>
    </row>
    <row r="659" spans="1:48" x14ac:dyDescent="0.3">
      <c r="A659" t="s">
        <v>1151</v>
      </c>
      <c r="C659" t="s">
        <v>1234</v>
      </c>
      <c r="E659" t="s">
        <v>1234</v>
      </c>
      <c r="G659" t="s">
        <v>1234</v>
      </c>
      <c r="J659" t="s">
        <v>1234</v>
      </c>
      <c r="L659" t="s">
        <v>1234</v>
      </c>
      <c r="R659" t="s">
        <v>1234</v>
      </c>
      <c r="S659" t="s">
        <v>1234</v>
      </c>
      <c r="U659" t="s">
        <v>1234</v>
      </c>
      <c r="Y659" t="s">
        <v>1234</v>
      </c>
      <c r="AA659" t="s">
        <v>1234</v>
      </c>
      <c r="AG659" t="s">
        <v>1234</v>
      </c>
      <c r="AM659" t="s">
        <v>1234</v>
      </c>
      <c r="AO659" t="s">
        <v>1234</v>
      </c>
      <c r="AQ659" t="s">
        <v>1234</v>
      </c>
      <c r="AU659" t="s">
        <v>1234</v>
      </c>
      <c r="AV659" t="s">
        <v>1234</v>
      </c>
    </row>
    <row r="660" spans="1:48" x14ac:dyDescent="0.3">
      <c r="A660" t="s">
        <v>1159</v>
      </c>
      <c r="C660" t="s">
        <v>1234</v>
      </c>
      <c r="E660" t="s">
        <v>1234</v>
      </c>
      <c r="G660" t="s">
        <v>1234</v>
      </c>
      <c r="J660" t="s">
        <v>1234</v>
      </c>
      <c r="L660" t="s">
        <v>1234</v>
      </c>
      <c r="R660" t="s">
        <v>1234</v>
      </c>
      <c r="S660" t="s">
        <v>1234</v>
      </c>
      <c r="U660" t="s">
        <v>1234</v>
      </c>
      <c r="Y660" t="s">
        <v>1234</v>
      </c>
      <c r="AA660" t="s">
        <v>1234</v>
      </c>
      <c r="AG660" t="s">
        <v>1234</v>
      </c>
      <c r="AM660" t="s">
        <v>1234</v>
      </c>
      <c r="AO660" t="s">
        <v>1234</v>
      </c>
      <c r="AQ660" t="s">
        <v>1234</v>
      </c>
      <c r="AU660" t="s">
        <v>1234</v>
      </c>
      <c r="AV660" t="s">
        <v>1234</v>
      </c>
    </row>
    <row r="661" spans="1:48" x14ac:dyDescent="0.3">
      <c r="A661" t="s">
        <v>1166</v>
      </c>
      <c r="C661" t="s">
        <v>1234</v>
      </c>
      <c r="E661" t="s">
        <v>1234</v>
      </c>
      <c r="G661" t="s">
        <v>1234</v>
      </c>
      <c r="J661" t="s">
        <v>1234</v>
      </c>
      <c r="L661" t="s">
        <v>1234</v>
      </c>
      <c r="R661" t="s">
        <v>1234</v>
      </c>
      <c r="S661" t="s">
        <v>1234</v>
      </c>
      <c r="U661" t="s">
        <v>1234</v>
      </c>
      <c r="Y661" t="s">
        <v>1234</v>
      </c>
      <c r="AA661" t="s">
        <v>1234</v>
      </c>
      <c r="AG661" t="s">
        <v>1234</v>
      </c>
      <c r="AM661" t="s">
        <v>1234</v>
      </c>
      <c r="AO661" t="s">
        <v>1234</v>
      </c>
      <c r="AQ661" t="s">
        <v>1234</v>
      </c>
      <c r="AU661" t="s">
        <v>1234</v>
      </c>
      <c r="AV661" t="s">
        <v>1234</v>
      </c>
    </row>
    <row r="662" spans="1:48" x14ac:dyDescent="0.3">
      <c r="A662" t="s">
        <v>1172</v>
      </c>
      <c r="C662" t="s">
        <v>1234</v>
      </c>
      <c r="E662" t="s">
        <v>1234</v>
      </c>
      <c r="G662" t="s">
        <v>1234</v>
      </c>
      <c r="R662" t="s">
        <v>1234</v>
      </c>
      <c r="S662" t="s">
        <v>1234</v>
      </c>
      <c r="U662" t="s">
        <v>1234</v>
      </c>
      <c r="Y662" t="s">
        <v>1234</v>
      </c>
      <c r="AA662" t="s">
        <v>1234</v>
      </c>
      <c r="AG662" t="s">
        <v>1234</v>
      </c>
      <c r="AM662" t="s">
        <v>1234</v>
      </c>
      <c r="AO662" t="s">
        <v>1234</v>
      </c>
      <c r="AQ662" t="s">
        <v>1234</v>
      </c>
      <c r="AU662" t="s">
        <v>1234</v>
      </c>
      <c r="AV662" t="s">
        <v>1234</v>
      </c>
    </row>
    <row r="663" spans="1:48" x14ac:dyDescent="0.3">
      <c r="A663" t="s">
        <v>1181</v>
      </c>
      <c r="C663" t="s">
        <v>1234</v>
      </c>
      <c r="E663" t="s">
        <v>1234</v>
      </c>
      <c r="G663" t="s">
        <v>1234</v>
      </c>
      <c r="R663" t="s">
        <v>1234</v>
      </c>
      <c r="S663" t="s">
        <v>1234</v>
      </c>
      <c r="X663" t="s">
        <v>1234</v>
      </c>
      <c r="AC663" t="s">
        <v>1234</v>
      </c>
      <c r="AE663" t="s">
        <v>1234</v>
      </c>
      <c r="AF663" t="s">
        <v>1234</v>
      </c>
      <c r="AM663" t="s">
        <v>1234</v>
      </c>
      <c r="AO663" t="s">
        <v>1234</v>
      </c>
      <c r="AQ663" t="s">
        <v>1234</v>
      </c>
      <c r="AU663" t="s">
        <v>1234</v>
      </c>
      <c r="AV663" t="s">
        <v>1234</v>
      </c>
    </row>
    <row r="665" spans="1:48" x14ac:dyDescent="0.3">
      <c r="A665" s="23" t="s">
        <v>1236</v>
      </c>
      <c r="B665" s="24"/>
      <c r="C665" s="24"/>
      <c r="D665" s="24"/>
      <c r="E665" s="24"/>
    </row>
    <row r="666" spans="1:48" x14ac:dyDescent="0.3">
      <c r="B666" t="s">
        <v>8</v>
      </c>
      <c r="C666" t="s">
        <v>8</v>
      </c>
      <c r="D666" t="s">
        <v>8</v>
      </c>
    </row>
    <row r="667" spans="1:48" x14ac:dyDescent="0.3">
      <c r="B667" t="s">
        <v>22</v>
      </c>
      <c r="C667" t="s">
        <v>23</v>
      </c>
      <c r="D667" t="s">
        <v>24</v>
      </c>
    </row>
    <row r="668" spans="1:48" x14ac:dyDescent="0.3">
      <c r="A668" t="s">
        <v>39</v>
      </c>
      <c r="B668" t="s">
        <v>41</v>
      </c>
      <c r="C668" t="s">
        <v>41</v>
      </c>
      <c r="D668" t="s">
        <v>45</v>
      </c>
    </row>
    <row r="669" spans="1:48" x14ac:dyDescent="0.3">
      <c r="A669" t="s">
        <v>584</v>
      </c>
      <c r="B669" t="s">
        <v>1234</v>
      </c>
      <c r="C669" t="s">
        <v>1234</v>
      </c>
      <c r="D669" t="s">
        <v>1234</v>
      </c>
    </row>
    <row r="670" spans="1:48" x14ac:dyDescent="0.3">
      <c r="A670" t="s">
        <v>600</v>
      </c>
      <c r="B670" t="s">
        <v>1234</v>
      </c>
      <c r="C670" t="s">
        <v>1234</v>
      </c>
      <c r="D670" t="s">
        <v>1234</v>
      </c>
    </row>
    <row r="671" spans="1:48" x14ac:dyDescent="0.3">
      <c r="A671" t="s">
        <v>614</v>
      </c>
      <c r="B671" t="s">
        <v>1234</v>
      </c>
      <c r="C671" t="s">
        <v>1234</v>
      </c>
      <c r="D671" t="s">
        <v>1234</v>
      </c>
    </row>
    <row r="672" spans="1:48" x14ac:dyDescent="0.3">
      <c r="A672" t="s">
        <v>633</v>
      </c>
      <c r="B672" t="s">
        <v>1234</v>
      </c>
      <c r="C672" t="s">
        <v>1234</v>
      </c>
      <c r="D672" t="s">
        <v>1234</v>
      </c>
    </row>
    <row r="673" spans="1:4" x14ac:dyDescent="0.3">
      <c r="A673" t="s">
        <v>652</v>
      </c>
      <c r="B673" t="s">
        <v>1234</v>
      </c>
      <c r="C673" t="s">
        <v>1234</v>
      </c>
      <c r="D673" t="s">
        <v>1234</v>
      </c>
    </row>
    <row r="674" spans="1:4" x14ac:dyDescent="0.3">
      <c r="A674" t="s">
        <v>666</v>
      </c>
      <c r="B674" t="s">
        <v>1234</v>
      </c>
      <c r="C674" t="s">
        <v>1234</v>
      </c>
      <c r="D674" t="s">
        <v>1234</v>
      </c>
    </row>
    <row r="675" spans="1:4" x14ac:dyDescent="0.3">
      <c r="A675" t="s">
        <v>680</v>
      </c>
      <c r="B675" t="s">
        <v>1234</v>
      </c>
      <c r="C675" t="s">
        <v>1234</v>
      </c>
      <c r="D675" t="s">
        <v>1234</v>
      </c>
    </row>
    <row r="676" spans="1:4" x14ac:dyDescent="0.3">
      <c r="A676" t="s">
        <v>692</v>
      </c>
      <c r="B676" t="s">
        <v>1234</v>
      </c>
      <c r="C676" t="s">
        <v>1234</v>
      </c>
      <c r="D676" t="s">
        <v>1234</v>
      </c>
    </row>
    <row r="677" spans="1:4" x14ac:dyDescent="0.3">
      <c r="A677" t="s">
        <v>703</v>
      </c>
      <c r="B677" t="s">
        <v>1234</v>
      </c>
      <c r="C677" t="s">
        <v>1234</v>
      </c>
      <c r="D677" t="s">
        <v>1234</v>
      </c>
    </row>
    <row r="678" spans="1:4" x14ac:dyDescent="0.3">
      <c r="A678" t="s">
        <v>718</v>
      </c>
      <c r="B678" t="s">
        <v>1234</v>
      </c>
      <c r="C678" t="s">
        <v>1234</v>
      </c>
      <c r="D678" t="s">
        <v>1234</v>
      </c>
    </row>
    <row r="679" spans="1:4" x14ac:dyDescent="0.3">
      <c r="A679" t="s">
        <v>734</v>
      </c>
      <c r="B679" t="s">
        <v>1234</v>
      </c>
      <c r="C679" t="s">
        <v>1234</v>
      </c>
      <c r="D679" t="s">
        <v>1234</v>
      </c>
    </row>
    <row r="680" spans="1:4" x14ac:dyDescent="0.3">
      <c r="A680" t="s">
        <v>747</v>
      </c>
      <c r="B680" t="s">
        <v>1234</v>
      </c>
      <c r="C680" t="s">
        <v>1234</v>
      </c>
      <c r="D680" t="s">
        <v>1234</v>
      </c>
    </row>
    <row r="681" spans="1:4" x14ac:dyDescent="0.3">
      <c r="A681" t="s">
        <v>762</v>
      </c>
      <c r="B681" t="s">
        <v>1234</v>
      </c>
      <c r="C681" t="s">
        <v>1234</v>
      </c>
      <c r="D681" t="s">
        <v>1234</v>
      </c>
    </row>
    <row r="682" spans="1:4" x14ac:dyDescent="0.3">
      <c r="A682" t="s">
        <v>780</v>
      </c>
      <c r="B682" t="s">
        <v>1234</v>
      </c>
      <c r="C682" t="s">
        <v>1234</v>
      </c>
      <c r="D682" t="s">
        <v>1234</v>
      </c>
    </row>
    <row r="683" spans="1:4" x14ac:dyDescent="0.3">
      <c r="A683" t="s">
        <v>791</v>
      </c>
      <c r="B683" t="s">
        <v>1234</v>
      </c>
      <c r="C683" t="s">
        <v>1234</v>
      </c>
      <c r="D683" t="s">
        <v>1234</v>
      </c>
    </row>
    <row r="684" spans="1:4" x14ac:dyDescent="0.3">
      <c r="A684" t="s">
        <v>807</v>
      </c>
      <c r="B684" t="s">
        <v>1234</v>
      </c>
      <c r="C684" t="s">
        <v>1234</v>
      </c>
      <c r="D684" t="s">
        <v>1234</v>
      </c>
    </row>
    <row r="685" spans="1:4" x14ac:dyDescent="0.3">
      <c r="A685" t="s">
        <v>820</v>
      </c>
      <c r="B685" t="s">
        <v>1234</v>
      </c>
      <c r="C685" t="s">
        <v>1234</v>
      </c>
      <c r="D685" t="s">
        <v>1234</v>
      </c>
    </row>
    <row r="686" spans="1:4" x14ac:dyDescent="0.3">
      <c r="A686" t="s">
        <v>835</v>
      </c>
      <c r="B686" t="s">
        <v>1234</v>
      </c>
      <c r="C686" t="s">
        <v>1234</v>
      </c>
      <c r="D686" t="s">
        <v>1234</v>
      </c>
    </row>
    <row r="687" spans="1:4" x14ac:dyDescent="0.3">
      <c r="A687" t="s">
        <v>846</v>
      </c>
      <c r="B687" t="s">
        <v>1234</v>
      </c>
      <c r="C687" t="s">
        <v>1234</v>
      </c>
      <c r="D687" t="s">
        <v>1234</v>
      </c>
    </row>
    <row r="688" spans="1:4" x14ac:dyDescent="0.3">
      <c r="A688" t="s">
        <v>856</v>
      </c>
      <c r="B688" t="s">
        <v>1234</v>
      </c>
      <c r="C688" t="s">
        <v>1234</v>
      </c>
      <c r="D688" t="s">
        <v>1234</v>
      </c>
    </row>
    <row r="689" spans="1:4" x14ac:dyDescent="0.3">
      <c r="A689" t="s">
        <v>864</v>
      </c>
      <c r="B689" t="s">
        <v>1234</v>
      </c>
      <c r="C689" t="s">
        <v>1234</v>
      </c>
      <c r="D689" t="s">
        <v>1234</v>
      </c>
    </row>
    <row r="690" spans="1:4" x14ac:dyDescent="0.3">
      <c r="A690" t="s">
        <v>875</v>
      </c>
      <c r="B690" t="s">
        <v>1234</v>
      </c>
      <c r="C690" t="s">
        <v>1234</v>
      </c>
      <c r="D690" t="s">
        <v>1234</v>
      </c>
    </row>
    <row r="691" spans="1:4" x14ac:dyDescent="0.3">
      <c r="A691" t="s">
        <v>888</v>
      </c>
      <c r="B691" t="s">
        <v>1234</v>
      </c>
      <c r="C691" t="s">
        <v>1234</v>
      </c>
      <c r="D691" t="s">
        <v>1234</v>
      </c>
    </row>
    <row r="692" spans="1:4" x14ac:dyDescent="0.3">
      <c r="A692" t="s">
        <v>902</v>
      </c>
      <c r="B692" t="s">
        <v>1234</v>
      </c>
      <c r="C692" t="s">
        <v>1234</v>
      </c>
      <c r="D692" t="s">
        <v>1234</v>
      </c>
    </row>
    <row r="693" spans="1:4" x14ac:dyDescent="0.3">
      <c r="A693" t="s">
        <v>915</v>
      </c>
      <c r="B693" t="s">
        <v>1234</v>
      </c>
      <c r="C693" t="s">
        <v>1234</v>
      </c>
      <c r="D693" t="s">
        <v>1234</v>
      </c>
    </row>
    <row r="694" spans="1:4" x14ac:dyDescent="0.3">
      <c r="A694" t="s">
        <v>928</v>
      </c>
      <c r="B694" t="s">
        <v>1234</v>
      </c>
      <c r="C694" t="s">
        <v>1234</v>
      </c>
      <c r="D694" t="s">
        <v>1234</v>
      </c>
    </row>
    <row r="695" spans="1:4" x14ac:dyDescent="0.3">
      <c r="A695" t="s">
        <v>941</v>
      </c>
      <c r="B695" t="s">
        <v>1234</v>
      </c>
      <c r="C695" t="s">
        <v>1234</v>
      </c>
      <c r="D695" t="s">
        <v>1234</v>
      </c>
    </row>
    <row r="696" spans="1:4" x14ac:dyDescent="0.3">
      <c r="A696" t="s">
        <v>953</v>
      </c>
      <c r="B696" t="s">
        <v>1234</v>
      </c>
      <c r="C696" t="s">
        <v>1234</v>
      </c>
      <c r="D696" t="s">
        <v>1234</v>
      </c>
    </row>
    <row r="697" spans="1:4" x14ac:dyDescent="0.3">
      <c r="A697" t="s">
        <v>962</v>
      </c>
      <c r="B697" t="s">
        <v>1234</v>
      </c>
      <c r="C697" t="s">
        <v>1234</v>
      </c>
      <c r="D697" t="s">
        <v>1234</v>
      </c>
    </row>
    <row r="698" spans="1:4" x14ac:dyDescent="0.3">
      <c r="A698" t="s">
        <v>972</v>
      </c>
      <c r="B698" t="s">
        <v>1234</v>
      </c>
      <c r="C698" t="s">
        <v>1234</v>
      </c>
      <c r="D698" t="s">
        <v>1234</v>
      </c>
    </row>
    <row r="699" spans="1:4" x14ac:dyDescent="0.3">
      <c r="A699" t="s">
        <v>983</v>
      </c>
      <c r="B699" t="s">
        <v>1234</v>
      </c>
      <c r="C699" t="s">
        <v>1234</v>
      </c>
      <c r="D699" t="s">
        <v>1234</v>
      </c>
    </row>
    <row r="700" spans="1:4" x14ac:dyDescent="0.3">
      <c r="A700" t="s">
        <v>991</v>
      </c>
      <c r="B700" t="s">
        <v>1234</v>
      </c>
      <c r="C700" t="s">
        <v>1234</v>
      </c>
      <c r="D700" t="s">
        <v>1234</v>
      </c>
    </row>
    <row r="701" spans="1:4" x14ac:dyDescent="0.3">
      <c r="A701" t="s">
        <v>1001</v>
      </c>
      <c r="B701" t="s">
        <v>1234</v>
      </c>
      <c r="C701" t="s">
        <v>1234</v>
      </c>
      <c r="D701" t="s">
        <v>1234</v>
      </c>
    </row>
    <row r="702" spans="1:4" x14ac:dyDescent="0.3">
      <c r="A702" t="s">
        <v>1018</v>
      </c>
      <c r="B702" t="s">
        <v>1234</v>
      </c>
      <c r="C702" t="s">
        <v>1234</v>
      </c>
      <c r="D702" t="s">
        <v>1234</v>
      </c>
    </row>
    <row r="703" spans="1:4" x14ac:dyDescent="0.3">
      <c r="A703" t="s">
        <v>1035</v>
      </c>
      <c r="B703" t="s">
        <v>1234</v>
      </c>
      <c r="C703" t="s">
        <v>1234</v>
      </c>
      <c r="D703" t="s">
        <v>1234</v>
      </c>
    </row>
    <row r="704" spans="1:4" x14ac:dyDescent="0.3">
      <c r="A704" t="s">
        <v>1046</v>
      </c>
      <c r="B704" t="s">
        <v>1234</v>
      </c>
      <c r="C704" t="s">
        <v>1234</v>
      </c>
      <c r="D704" t="s">
        <v>1234</v>
      </c>
    </row>
    <row r="705" spans="1:5" x14ac:dyDescent="0.3">
      <c r="A705" t="s">
        <v>1059</v>
      </c>
      <c r="B705" t="s">
        <v>1234</v>
      </c>
      <c r="C705" t="s">
        <v>1234</v>
      </c>
      <c r="D705" t="s">
        <v>1234</v>
      </c>
    </row>
    <row r="706" spans="1:5" x14ac:dyDescent="0.3">
      <c r="A706" t="s">
        <v>1069</v>
      </c>
      <c r="B706" t="s">
        <v>1234</v>
      </c>
      <c r="C706" t="s">
        <v>1234</v>
      </c>
      <c r="D706" t="s">
        <v>1234</v>
      </c>
    </row>
    <row r="707" spans="1:5" x14ac:dyDescent="0.3">
      <c r="A707" t="s">
        <v>1079</v>
      </c>
      <c r="B707" t="s">
        <v>1234</v>
      </c>
      <c r="C707" t="s">
        <v>1234</v>
      </c>
      <c r="D707" t="s">
        <v>1234</v>
      </c>
    </row>
    <row r="708" spans="1:5" x14ac:dyDescent="0.3">
      <c r="A708" t="s">
        <v>1089</v>
      </c>
      <c r="B708" t="s">
        <v>1234</v>
      </c>
      <c r="C708" t="s">
        <v>1234</v>
      </c>
      <c r="D708" t="s">
        <v>1234</v>
      </c>
    </row>
    <row r="709" spans="1:5" x14ac:dyDescent="0.3">
      <c r="A709" t="s">
        <v>1101</v>
      </c>
      <c r="B709" t="s">
        <v>1234</v>
      </c>
      <c r="C709" t="s">
        <v>1234</v>
      </c>
      <c r="D709" t="s">
        <v>1234</v>
      </c>
    </row>
    <row r="710" spans="1:5" x14ac:dyDescent="0.3">
      <c r="A710" t="s">
        <v>1110</v>
      </c>
      <c r="B710" t="s">
        <v>1234</v>
      </c>
      <c r="C710" t="s">
        <v>1234</v>
      </c>
      <c r="D710" t="s">
        <v>1234</v>
      </c>
    </row>
    <row r="711" spans="1:5" x14ac:dyDescent="0.3">
      <c r="A711" t="s">
        <v>1123</v>
      </c>
      <c r="B711" t="s">
        <v>1234</v>
      </c>
      <c r="C711" t="s">
        <v>1234</v>
      </c>
      <c r="D711" t="s">
        <v>1234</v>
      </c>
    </row>
    <row r="712" spans="1:5" x14ac:dyDescent="0.3">
      <c r="A712" t="s">
        <v>1134</v>
      </c>
      <c r="B712" t="s">
        <v>1234</v>
      </c>
      <c r="C712" t="s">
        <v>1234</v>
      </c>
      <c r="D712" t="s">
        <v>1234</v>
      </c>
    </row>
    <row r="713" spans="1:5" x14ac:dyDescent="0.3">
      <c r="A713" t="s">
        <v>1144</v>
      </c>
      <c r="B713" t="s">
        <v>1234</v>
      </c>
      <c r="C713" t="s">
        <v>1234</v>
      </c>
      <c r="D713" t="s">
        <v>1234</v>
      </c>
    </row>
    <row r="714" spans="1:5" x14ac:dyDescent="0.3">
      <c r="A714" t="s">
        <v>1159</v>
      </c>
      <c r="B714" t="s">
        <v>1234</v>
      </c>
      <c r="C714" t="s">
        <v>1234</v>
      </c>
      <c r="D714" t="s">
        <v>1234</v>
      </c>
    </row>
    <row r="715" spans="1:5" x14ac:dyDescent="0.3">
      <c r="A715" t="s">
        <v>1172</v>
      </c>
      <c r="B715" t="s">
        <v>1234</v>
      </c>
      <c r="C715" t="s">
        <v>1234</v>
      </c>
      <c r="D715" t="s">
        <v>1234</v>
      </c>
    </row>
    <row r="716" spans="1:5" x14ac:dyDescent="0.3">
      <c r="A716" t="s">
        <v>1203</v>
      </c>
      <c r="B716" t="s">
        <v>1234</v>
      </c>
      <c r="C716" t="s">
        <v>1234</v>
      </c>
      <c r="D716" t="s">
        <v>1234</v>
      </c>
    </row>
    <row r="718" spans="1:5" x14ac:dyDescent="0.3">
      <c r="A718" s="23" t="s">
        <v>1237</v>
      </c>
      <c r="B718" s="24"/>
      <c r="C718" s="24"/>
      <c r="D718" s="24"/>
      <c r="E718" s="24"/>
    </row>
    <row r="719" spans="1:5" x14ac:dyDescent="0.3">
      <c r="B719" t="s">
        <v>1206</v>
      </c>
    </row>
    <row r="720" spans="1:5" x14ac:dyDescent="0.3">
      <c r="B720" t="s">
        <v>19</v>
      </c>
    </row>
    <row r="721" spans="1:5" x14ac:dyDescent="0.3">
      <c r="A721" t="s">
        <v>39</v>
      </c>
      <c r="B721" t="s">
        <v>45</v>
      </c>
    </row>
    <row r="722" spans="1:5" x14ac:dyDescent="0.3">
      <c r="A722" t="s">
        <v>402</v>
      </c>
      <c r="B722" t="s">
        <v>1207</v>
      </c>
    </row>
    <row r="723" spans="1:5" x14ac:dyDescent="0.3">
      <c r="A723" t="s">
        <v>411</v>
      </c>
      <c r="B723" t="s">
        <v>538</v>
      </c>
    </row>
    <row r="724" spans="1:5" x14ac:dyDescent="0.3">
      <c r="A724" t="s">
        <v>420</v>
      </c>
      <c r="B724" t="s">
        <v>1234</v>
      </c>
    </row>
    <row r="725" spans="1:5" x14ac:dyDescent="0.3">
      <c r="A725" t="s">
        <v>427</v>
      </c>
      <c r="B725" t="s">
        <v>1234</v>
      </c>
    </row>
    <row r="726" spans="1:5" x14ac:dyDescent="0.3">
      <c r="A726" t="s">
        <v>436</v>
      </c>
      <c r="B726" t="s">
        <v>1234</v>
      </c>
    </row>
    <row r="727" spans="1:5" x14ac:dyDescent="0.3">
      <c r="A727" t="s">
        <v>442</v>
      </c>
      <c r="B727" t="s">
        <v>1234</v>
      </c>
    </row>
    <row r="728" spans="1:5" x14ac:dyDescent="0.3">
      <c r="A728" t="s">
        <v>448</v>
      </c>
      <c r="B728" t="s">
        <v>1234</v>
      </c>
    </row>
    <row r="729" spans="1:5" x14ac:dyDescent="0.3">
      <c r="A729" t="s">
        <v>455</v>
      </c>
      <c r="B729" t="s">
        <v>1234</v>
      </c>
    </row>
    <row r="730" spans="1:5" x14ac:dyDescent="0.3">
      <c r="A730" t="s">
        <v>464</v>
      </c>
      <c r="B730" t="s">
        <v>1234</v>
      </c>
    </row>
    <row r="731" spans="1:5" x14ac:dyDescent="0.3">
      <c r="A731" t="s">
        <v>469</v>
      </c>
      <c r="B731" t="s">
        <v>1234</v>
      </c>
    </row>
    <row r="732" spans="1:5" x14ac:dyDescent="0.3">
      <c r="A732" t="s">
        <v>474</v>
      </c>
      <c r="B732" t="s">
        <v>1234</v>
      </c>
    </row>
    <row r="733" spans="1:5" x14ac:dyDescent="0.3">
      <c r="A733" t="s">
        <v>480</v>
      </c>
      <c r="B733" t="s">
        <v>1234</v>
      </c>
    </row>
    <row r="735" spans="1:5" x14ac:dyDescent="0.3">
      <c r="A735" s="23" t="s">
        <v>1238</v>
      </c>
      <c r="B735" s="24"/>
      <c r="C735" s="24"/>
      <c r="D735" s="24"/>
      <c r="E735" s="24"/>
    </row>
    <row r="736" spans="1:5" x14ac:dyDescent="0.3">
      <c r="B736" t="s">
        <v>1218</v>
      </c>
      <c r="C736" t="s">
        <v>1218</v>
      </c>
    </row>
    <row r="737" spans="1:3" x14ac:dyDescent="0.3">
      <c r="B737" t="s">
        <v>1219</v>
      </c>
      <c r="C737" t="s">
        <v>1220</v>
      </c>
    </row>
    <row r="738" spans="1:3" x14ac:dyDescent="0.3">
      <c r="A738" t="s">
        <v>39</v>
      </c>
      <c r="B738" t="s">
        <v>1221</v>
      </c>
      <c r="C738" t="s">
        <v>1221</v>
      </c>
    </row>
    <row r="739" spans="1:3" x14ac:dyDescent="0.3">
      <c r="A739" t="s">
        <v>48</v>
      </c>
      <c r="C739" t="s">
        <v>1234</v>
      </c>
    </row>
    <row r="740" spans="1:3" x14ac:dyDescent="0.3">
      <c r="A740" t="s">
        <v>61</v>
      </c>
      <c r="C740" t="s">
        <v>1234</v>
      </c>
    </row>
    <row r="741" spans="1:3" x14ac:dyDescent="0.3">
      <c r="A741" t="s">
        <v>72</v>
      </c>
      <c r="C741" t="s">
        <v>1234</v>
      </c>
    </row>
    <row r="742" spans="1:3" x14ac:dyDescent="0.3">
      <c r="A742" t="s">
        <v>83</v>
      </c>
      <c r="C742" t="s">
        <v>1234</v>
      </c>
    </row>
    <row r="743" spans="1:3" x14ac:dyDescent="0.3">
      <c r="A743" t="s">
        <v>95</v>
      </c>
      <c r="C743" t="s">
        <v>1234</v>
      </c>
    </row>
    <row r="744" spans="1:3" x14ac:dyDescent="0.3">
      <c r="A744" t="s">
        <v>109</v>
      </c>
      <c r="C744" t="s">
        <v>1234</v>
      </c>
    </row>
    <row r="745" spans="1:3" x14ac:dyDescent="0.3">
      <c r="A745" t="s">
        <v>122</v>
      </c>
      <c r="C745" t="s">
        <v>1234</v>
      </c>
    </row>
    <row r="746" spans="1:3" x14ac:dyDescent="0.3">
      <c r="A746" t="s">
        <v>135</v>
      </c>
      <c r="C746" t="s">
        <v>1234</v>
      </c>
    </row>
    <row r="747" spans="1:3" x14ac:dyDescent="0.3">
      <c r="A747" t="s">
        <v>148</v>
      </c>
      <c r="C747" t="s">
        <v>1234</v>
      </c>
    </row>
    <row r="748" spans="1:3" x14ac:dyDescent="0.3">
      <c r="A748" t="s">
        <v>159</v>
      </c>
      <c r="C748" t="s">
        <v>1234</v>
      </c>
    </row>
    <row r="749" spans="1:3" x14ac:dyDescent="0.3">
      <c r="A749" t="s">
        <v>166</v>
      </c>
      <c r="C749" t="s">
        <v>1234</v>
      </c>
    </row>
    <row r="750" spans="1:3" x14ac:dyDescent="0.3">
      <c r="A750" t="s">
        <v>176</v>
      </c>
      <c r="C750" t="s">
        <v>1234</v>
      </c>
    </row>
    <row r="751" spans="1:3" x14ac:dyDescent="0.3">
      <c r="A751" t="s">
        <v>185</v>
      </c>
      <c r="C751" t="s">
        <v>1234</v>
      </c>
    </row>
    <row r="752" spans="1:3" x14ac:dyDescent="0.3">
      <c r="A752" t="s">
        <v>192</v>
      </c>
      <c r="C752" t="s">
        <v>1234</v>
      </c>
    </row>
    <row r="753" spans="1:3" x14ac:dyDescent="0.3">
      <c r="A753" t="s">
        <v>200</v>
      </c>
      <c r="C753" t="s">
        <v>1234</v>
      </c>
    </row>
    <row r="754" spans="1:3" x14ac:dyDescent="0.3">
      <c r="A754" t="s">
        <v>209</v>
      </c>
      <c r="C754" t="s">
        <v>1234</v>
      </c>
    </row>
    <row r="755" spans="1:3" x14ac:dyDescent="0.3">
      <c r="A755" t="s">
        <v>217</v>
      </c>
      <c r="C755" t="s">
        <v>1234</v>
      </c>
    </row>
    <row r="756" spans="1:3" x14ac:dyDescent="0.3">
      <c r="A756" t="s">
        <v>227</v>
      </c>
      <c r="C756" t="s">
        <v>1234</v>
      </c>
    </row>
    <row r="757" spans="1:3" x14ac:dyDescent="0.3">
      <c r="A757" t="s">
        <v>238</v>
      </c>
      <c r="C757" t="s">
        <v>1234</v>
      </c>
    </row>
    <row r="758" spans="1:3" x14ac:dyDescent="0.3">
      <c r="A758" t="s">
        <v>250</v>
      </c>
      <c r="C758" t="s">
        <v>1234</v>
      </c>
    </row>
    <row r="759" spans="1:3" x14ac:dyDescent="0.3">
      <c r="A759" t="s">
        <v>262</v>
      </c>
      <c r="C759" t="s">
        <v>1234</v>
      </c>
    </row>
    <row r="760" spans="1:3" x14ac:dyDescent="0.3">
      <c r="A760" t="s">
        <v>275</v>
      </c>
      <c r="C760" t="s">
        <v>1234</v>
      </c>
    </row>
    <row r="761" spans="1:3" x14ac:dyDescent="0.3">
      <c r="A761" t="s">
        <v>283</v>
      </c>
      <c r="C761" t="s">
        <v>1234</v>
      </c>
    </row>
    <row r="762" spans="1:3" x14ac:dyDescent="0.3">
      <c r="A762" t="s">
        <v>291</v>
      </c>
      <c r="C762" t="s">
        <v>1234</v>
      </c>
    </row>
    <row r="763" spans="1:3" x14ac:dyDescent="0.3">
      <c r="A763" t="s">
        <v>296</v>
      </c>
      <c r="C763" t="s">
        <v>1234</v>
      </c>
    </row>
    <row r="764" spans="1:3" x14ac:dyDescent="0.3">
      <c r="A764" t="s">
        <v>303</v>
      </c>
      <c r="C764" t="s">
        <v>1234</v>
      </c>
    </row>
    <row r="765" spans="1:3" x14ac:dyDescent="0.3">
      <c r="A765" t="s">
        <v>310</v>
      </c>
      <c r="C765" t="s">
        <v>1234</v>
      </c>
    </row>
    <row r="766" spans="1:3" x14ac:dyDescent="0.3">
      <c r="A766" t="s">
        <v>320</v>
      </c>
      <c r="C766" t="s">
        <v>1234</v>
      </c>
    </row>
    <row r="767" spans="1:3" x14ac:dyDescent="0.3">
      <c r="A767" t="s">
        <v>330</v>
      </c>
      <c r="C767" t="s">
        <v>1234</v>
      </c>
    </row>
    <row r="768" spans="1:3" x14ac:dyDescent="0.3">
      <c r="A768" t="s">
        <v>341</v>
      </c>
      <c r="C768" t="s">
        <v>1234</v>
      </c>
    </row>
    <row r="769" spans="1:3" x14ac:dyDescent="0.3">
      <c r="A769" t="s">
        <v>349</v>
      </c>
      <c r="C769" t="s">
        <v>1234</v>
      </c>
    </row>
    <row r="770" spans="1:3" x14ac:dyDescent="0.3">
      <c r="A770" t="s">
        <v>359</v>
      </c>
      <c r="C770" t="s">
        <v>1234</v>
      </c>
    </row>
    <row r="771" spans="1:3" x14ac:dyDescent="0.3">
      <c r="A771" t="s">
        <v>366</v>
      </c>
      <c r="C771" t="s">
        <v>1234</v>
      </c>
    </row>
    <row r="772" spans="1:3" x14ac:dyDescent="0.3">
      <c r="A772" t="s">
        <v>376</v>
      </c>
      <c r="C772" t="s">
        <v>1234</v>
      </c>
    </row>
    <row r="773" spans="1:3" x14ac:dyDescent="0.3">
      <c r="A773" t="s">
        <v>385</v>
      </c>
      <c r="C773" t="s">
        <v>1234</v>
      </c>
    </row>
    <row r="774" spans="1:3" x14ac:dyDescent="0.3">
      <c r="A774" t="s">
        <v>394</v>
      </c>
      <c r="C774" t="s">
        <v>1234</v>
      </c>
    </row>
    <row r="775" spans="1:3" x14ac:dyDescent="0.3">
      <c r="A775" t="s">
        <v>402</v>
      </c>
      <c r="C775" t="s">
        <v>1234</v>
      </c>
    </row>
    <row r="776" spans="1:3" x14ac:dyDescent="0.3">
      <c r="A776" t="s">
        <v>411</v>
      </c>
      <c r="C776" t="s">
        <v>1234</v>
      </c>
    </row>
    <row r="777" spans="1:3" x14ac:dyDescent="0.3">
      <c r="A777" t="s">
        <v>420</v>
      </c>
      <c r="C777" t="s">
        <v>1234</v>
      </c>
    </row>
    <row r="778" spans="1:3" x14ac:dyDescent="0.3">
      <c r="A778" t="s">
        <v>427</v>
      </c>
      <c r="C778" t="s">
        <v>1234</v>
      </c>
    </row>
    <row r="779" spans="1:3" x14ac:dyDescent="0.3">
      <c r="A779" t="s">
        <v>436</v>
      </c>
      <c r="C779" t="s">
        <v>1234</v>
      </c>
    </row>
    <row r="780" spans="1:3" x14ac:dyDescent="0.3">
      <c r="A780" t="s">
        <v>442</v>
      </c>
      <c r="C780" t="s">
        <v>1234</v>
      </c>
    </row>
    <row r="781" spans="1:3" x14ac:dyDescent="0.3">
      <c r="A781" t="s">
        <v>448</v>
      </c>
      <c r="C781" t="s">
        <v>1234</v>
      </c>
    </row>
    <row r="782" spans="1:3" x14ac:dyDescent="0.3">
      <c r="A782" t="s">
        <v>455</v>
      </c>
      <c r="C782" t="s">
        <v>1234</v>
      </c>
    </row>
    <row r="783" spans="1:3" x14ac:dyDescent="0.3">
      <c r="A783" t="s">
        <v>464</v>
      </c>
      <c r="C783" t="s">
        <v>1234</v>
      </c>
    </row>
    <row r="784" spans="1:3" x14ac:dyDescent="0.3">
      <c r="A784" t="s">
        <v>469</v>
      </c>
      <c r="C784" t="s">
        <v>1234</v>
      </c>
    </row>
    <row r="785" spans="1:3" x14ac:dyDescent="0.3">
      <c r="A785" t="s">
        <v>474</v>
      </c>
      <c r="C785" t="s">
        <v>1234</v>
      </c>
    </row>
    <row r="786" spans="1:3" x14ac:dyDescent="0.3">
      <c r="A786" t="s">
        <v>480</v>
      </c>
      <c r="C786" t="s">
        <v>1234</v>
      </c>
    </row>
    <row r="787" spans="1:3" x14ac:dyDescent="0.3">
      <c r="A787" t="s">
        <v>490</v>
      </c>
      <c r="C787" t="s">
        <v>1234</v>
      </c>
    </row>
    <row r="788" spans="1:3" x14ac:dyDescent="0.3">
      <c r="A788" t="s">
        <v>495</v>
      </c>
      <c r="C788" t="s">
        <v>1234</v>
      </c>
    </row>
    <row r="789" spans="1:3" x14ac:dyDescent="0.3">
      <c r="A789" t="s">
        <v>503</v>
      </c>
      <c r="C789" t="s">
        <v>1234</v>
      </c>
    </row>
    <row r="790" spans="1:3" x14ac:dyDescent="0.3">
      <c r="A790" t="s">
        <v>510</v>
      </c>
      <c r="C790" t="s">
        <v>1234</v>
      </c>
    </row>
    <row r="791" spans="1:3" x14ac:dyDescent="0.3">
      <c r="A791" t="s">
        <v>515</v>
      </c>
      <c r="C791" t="s">
        <v>1234</v>
      </c>
    </row>
    <row r="792" spans="1:3" x14ac:dyDescent="0.3">
      <c r="A792" t="s">
        <v>523</v>
      </c>
      <c r="C792" t="s">
        <v>1234</v>
      </c>
    </row>
    <row r="793" spans="1:3" x14ac:dyDescent="0.3">
      <c r="A793" t="s">
        <v>533</v>
      </c>
      <c r="C793" t="s">
        <v>1234</v>
      </c>
    </row>
    <row r="794" spans="1:3" x14ac:dyDescent="0.3">
      <c r="A794" t="s">
        <v>543</v>
      </c>
      <c r="C794" t="s">
        <v>1234</v>
      </c>
    </row>
    <row r="795" spans="1:3" x14ac:dyDescent="0.3">
      <c r="A795" t="s">
        <v>552</v>
      </c>
      <c r="C795" t="s">
        <v>1234</v>
      </c>
    </row>
    <row r="796" spans="1:3" x14ac:dyDescent="0.3">
      <c r="A796" t="s">
        <v>560</v>
      </c>
      <c r="C796" t="s">
        <v>1234</v>
      </c>
    </row>
    <row r="797" spans="1:3" x14ac:dyDescent="0.3">
      <c r="A797" t="s">
        <v>565</v>
      </c>
      <c r="C797" t="s">
        <v>1234</v>
      </c>
    </row>
    <row r="798" spans="1:3" x14ac:dyDescent="0.3">
      <c r="A798" t="s">
        <v>572</v>
      </c>
      <c r="C798" t="s">
        <v>1234</v>
      </c>
    </row>
    <row r="799" spans="1:3" x14ac:dyDescent="0.3">
      <c r="A799" t="s">
        <v>577</v>
      </c>
      <c r="B799" t="s">
        <v>1234</v>
      </c>
    </row>
    <row r="800" spans="1:3" x14ac:dyDescent="0.3">
      <c r="A800" t="s">
        <v>584</v>
      </c>
      <c r="B800" t="s">
        <v>1234</v>
      </c>
    </row>
    <row r="801" spans="1:2" x14ac:dyDescent="0.3">
      <c r="A801" t="s">
        <v>591</v>
      </c>
      <c r="B801" t="s">
        <v>1234</v>
      </c>
    </row>
    <row r="802" spans="1:2" x14ac:dyDescent="0.3">
      <c r="A802" t="s">
        <v>600</v>
      </c>
      <c r="B802" t="s">
        <v>1234</v>
      </c>
    </row>
    <row r="803" spans="1:2" x14ac:dyDescent="0.3">
      <c r="A803" t="s">
        <v>606</v>
      </c>
      <c r="B803" t="s">
        <v>1234</v>
      </c>
    </row>
    <row r="804" spans="1:2" x14ac:dyDescent="0.3">
      <c r="A804" t="s">
        <v>614</v>
      </c>
      <c r="B804" t="s">
        <v>1234</v>
      </c>
    </row>
    <row r="805" spans="1:2" x14ac:dyDescent="0.3">
      <c r="A805" t="s">
        <v>624</v>
      </c>
      <c r="B805" t="s">
        <v>1234</v>
      </c>
    </row>
    <row r="806" spans="1:2" x14ac:dyDescent="0.3">
      <c r="A806" t="s">
        <v>633</v>
      </c>
      <c r="B806" t="s">
        <v>1234</v>
      </c>
    </row>
    <row r="807" spans="1:2" x14ac:dyDescent="0.3">
      <c r="A807" t="s">
        <v>642</v>
      </c>
      <c r="B807" t="s">
        <v>1234</v>
      </c>
    </row>
    <row r="808" spans="1:2" x14ac:dyDescent="0.3">
      <c r="A808" t="s">
        <v>652</v>
      </c>
      <c r="B808" t="s">
        <v>1234</v>
      </c>
    </row>
    <row r="809" spans="1:2" x14ac:dyDescent="0.3">
      <c r="A809" t="s">
        <v>660</v>
      </c>
      <c r="B809" t="s">
        <v>1234</v>
      </c>
    </row>
    <row r="810" spans="1:2" x14ac:dyDescent="0.3">
      <c r="A810" t="s">
        <v>666</v>
      </c>
      <c r="B810" t="s">
        <v>1234</v>
      </c>
    </row>
    <row r="811" spans="1:2" x14ac:dyDescent="0.3">
      <c r="A811" t="s">
        <v>676</v>
      </c>
      <c r="B811" t="s">
        <v>1234</v>
      </c>
    </row>
    <row r="812" spans="1:2" x14ac:dyDescent="0.3">
      <c r="A812" t="s">
        <v>680</v>
      </c>
      <c r="B812" t="s">
        <v>1234</v>
      </c>
    </row>
    <row r="813" spans="1:2" x14ac:dyDescent="0.3">
      <c r="A813" t="s">
        <v>686</v>
      </c>
      <c r="B813" t="s">
        <v>1234</v>
      </c>
    </row>
    <row r="814" spans="1:2" x14ac:dyDescent="0.3">
      <c r="A814" t="s">
        <v>692</v>
      </c>
      <c r="B814" t="s">
        <v>1234</v>
      </c>
    </row>
    <row r="815" spans="1:2" x14ac:dyDescent="0.3">
      <c r="A815" t="s">
        <v>697</v>
      </c>
      <c r="B815" t="s">
        <v>1234</v>
      </c>
    </row>
    <row r="816" spans="1:2" x14ac:dyDescent="0.3">
      <c r="A816" t="s">
        <v>703</v>
      </c>
      <c r="B816" t="s">
        <v>1234</v>
      </c>
    </row>
    <row r="817" spans="1:2" x14ac:dyDescent="0.3">
      <c r="A817" t="s">
        <v>709</v>
      </c>
      <c r="B817" t="s">
        <v>1234</v>
      </c>
    </row>
    <row r="818" spans="1:2" x14ac:dyDescent="0.3">
      <c r="A818" t="s">
        <v>718</v>
      </c>
      <c r="B818" t="s">
        <v>1234</v>
      </c>
    </row>
    <row r="819" spans="1:2" x14ac:dyDescent="0.3">
      <c r="A819" t="s">
        <v>726</v>
      </c>
      <c r="B819" t="s">
        <v>1234</v>
      </c>
    </row>
    <row r="820" spans="1:2" x14ac:dyDescent="0.3">
      <c r="A820" t="s">
        <v>734</v>
      </c>
      <c r="B820" t="s">
        <v>1234</v>
      </c>
    </row>
    <row r="821" spans="1:2" x14ac:dyDescent="0.3">
      <c r="A821" t="s">
        <v>738</v>
      </c>
      <c r="B821" t="s">
        <v>1234</v>
      </c>
    </row>
    <row r="822" spans="1:2" x14ac:dyDescent="0.3">
      <c r="A822" t="s">
        <v>747</v>
      </c>
      <c r="B822" t="s">
        <v>1234</v>
      </c>
    </row>
    <row r="823" spans="1:2" x14ac:dyDescent="0.3">
      <c r="A823" t="s">
        <v>754</v>
      </c>
      <c r="B823" t="s">
        <v>1234</v>
      </c>
    </row>
    <row r="824" spans="1:2" x14ac:dyDescent="0.3">
      <c r="A824" t="s">
        <v>762</v>
      </c>
      <c r="B824" t="s">
        <v>1234</v>
      </c>
    </row>
    <row r="825" spans="1:2" x14ac:dyDescent="0.3">
      <c r="A825" t="s">
        <v>772</v>
      </c>
      <c r="B825" t="s">
        <v>1234</v>
      </c>
    </row>
    <row r="826" spans="1:2" x14ac:dyDescent="0.3">
      <c r="A826" t="s">
        <v>780</v>
      </c>
      <c r="B826" t="s">
        <v>1234</v>
      </c>
    </row>
    <row r="827" spans="1:2" x14ac:dyDescent="0.3">
      <c r="A827" t="s">
        <v>785</v>
      </c>
      <c r="B827" t="s">
        <v>1234</v>
      </c>
    </row>
    <row r="828" spans="1:2" x14ac:dyDescent="0.3">
      <c r="A828" t="s">
        <v>791</v>
      </c>
      <c r="B828" t="s">
        <v>1234</v>
      </c>
    </row>
    <row r="829" spans="1:2" x14ac:dyDescent="0.3">
      <c r="A829" t="s">
        <v>802</v>
      </c>
      <c r="B829" t="s">
        <v>1234</v>
      </c>
    </row>
    <row r="830" spans="1:2" x14ac:dyDescent="0.3">
      <c r="A830" t="s">
        <v>807</v>
      </c>
      <c r="B830" t="s">
        <v>1234</v>
      </c>
    </row>
    <row r="831" spans="1:2" x14ac:dyDescent="0.3">
      <c r="A831" t="s">
        <v>812</v>
      </c>
      <c r="B831" t="s">
        <v>1234</v>
      </c>
    </row>
    <row r="832" spans="1:2" x14ac:dyDescent="0.3">
      <c r="A832" t="s">
        <v>820</v>
      </c>
      <c r="B832" t="s">
        <v>1234</v>
      </c>
    </row>
    <row r="833" spans="1:2" x14ac:dyDescent="0.3">
      <c r="A833" t="s">
        <v>827</v>
      </c>
      <c r="B833" t="s">
        <v>1234</v>
      </c>
    </row>
    <row r="834" spans="1:2" x14ac:dyDescent="0.3">
      <c r="A834" t="s">
        <v>835</v>
      </c>
      <c r="B834" t="s">
        <v>1234</v>
      </c>
    </row>
    <row r="835" spans="1:2" x14ac:dyDescent="0.3">
      <c r="A835" t="s">
        <v>839</v>
      </c>
      <c r="B835" t="s">
        <v>1234</v>
      </c>
    </row>
    <row r="836" spans="1:2" x14ac:dyDescent="0.3">
      <c r="A836" t="s">
        <v>846</v>
      </c>
      <c r="B836" t="s">
        <v>1234</v>
      </c>
    </row>
    <row r="837" spans="1:2" x14ac:dyDescent="0.3">
      <c r="A837" t="s">
        <v>852</v>
      </c>
      <c r="B837" t="s">
        <v>1234</v>
      </c>
    </row>
    <row r="838" spans="1:2" x14ac:dyDescent="0.3">
      <c r="A838" t="s">
        <v>856</v>
      </c>
      <c r="B838" t="s">
        <v>1234</v>
      </c>
    </row>
    <row r="839" spans="1:2" x14ac:dyDescent="0.3">
      <c r="A839" t="s">
        <v>860</v>
      </c>
      <c r="B839" t="s">
        <v>1234</v>
      </c>
    </row>
    <row r="840" spans="1:2" x14ac:dyDescent="0.3">
      <c r="A840" t="s">
        <v>864</v>
      </c>
      <c r="B840" t="s">
        <v>1234</v>
      </c>
    </row>
    <row r="841" spans="1:2" x14ac:dyDescent="0.3">
      <c r="A841" t="s">
        <v>869</v>
      </c>
      <c r="B841" t="s">
        <v>1234</v>
      </c>
    </row>
    <row r="842" spans="1:2" x14ac:dyDescent="0.3">
      <c r="A842" t="s">
        <v>875</v>
      </c>
      <c r="B842" t="s">
        <v>1234</v>
      </c>
    </row>
    <row r="843" spans="1:2" x14ac:dyDescent="0.3">
      <c r="A843" t="s">
        <v>883</v>
      </c>
      <c r="B843" t="s">
        <v>1234</v>
      </c>
    </row>
    <row r="844" spans="1:2" x14ac:dyDescent="0.3">
      <c r="A844" t="s">
        <v>888</v>
      </c>
      <c r="B844" t="s">
        <v>1234</v>
      </c>
    </row>
    <row r="845" spans="1:2" x14ac:dyDescent="0.3">
      <c r="A845" t="s">
        <v>894</v>
      </c>
      <c r="B845" t="s">
        <v>1234</v>
      </c>
    </row>
    <row r="846" spans="1:2" x14ac:dyDescent="0.3">
      <c r="A846" t="s">
        <v>902</v>
      </c>
      <c r="B846" t="s">
        <v>1234</v>
      </c>
    </row>
    <row r="847" spans="1:2" x14ac:dyDescent="0.3">
      <c r="A847" t="s">
        <v>910</v>
      </c>
      <c r="B847" t="s">
        <v>1234</v>
      </c>
    </row>
    <row r="848" spans="1:2" x14ac:dyDescent="0.3">
      <c r="A848" t="s">
        <v>915</v>
      </c>
      <c r="B848" t="s">
        <v>1234</v>
      </c>
    </row>
    <row r="849" spans="1:2" x14ac:dyDescent="0.3">
      <c r="A849" t="s">
        <v>921</v>
      </c>
      <c r="B849" t="s">
        <v>1234</v>
      </c>
    </row>
    <row r="850" spans="1:2" x14ac:dyDescent="0.3">
      <c r="A850" t="s">
        <v>928</v>
      </c>
      <c r="B850" t="s">
        <v>1234</v>
      </c>
    </row>
    <row r="851" spans="1:2" x14ac:dyDescent="0.3">
      <c r="A851" t="s">
        <v>936</v>
      </c>
      <c r="B851" t="s">
        <v>1234</v>
      </c>
    </row>
    <row r="852" spans="1:2" x14ac:dyDescent="0.3">
      <c r="A852" t="s">
        <v>941</v>
      </c>
      <c r="B852" t="s">
        <v>1234</v>
      </c>
    </row>
    <row r="853" spans="1:2" x14ac:dyDescent="0.3">
      <c r="A853" t="s">
        <v>947</v>
      </c>
      <c r="B853" t="s">
        <v>1234</v>
      </c>
    </row>
    <row r="854" spans="1:2" x14ac:dyDescent="0.3">
      <c r="A854" t="s">
        <v>953</v>
      </c>
      <c r="B854" t="s">
        <v>1234</v>
      </c>
    </row>
    <row r="855" spans="1:2" x14ac:dyDescent="0.3">
      <c r="A855" t="s">
        <v>958</v>
      </c>
      <c r="B855" t="s">
        <v>1234</v>
      </c>
    </row>
    <row r="856" spans="1:2" x14ac:dyDescent="0.3">
      <c r="A856" t="s">
        <v>962</v>
      </c>
      <c r="B856" t="s">
        <v>1234</v>
      </c>
    </row>
    <row r="857" spans="1:2" x14ac:dyDescent="0.3">
      <c r="A857" t="s">
        <v>968</v>
      </c>
      <c r="B857" t="s">
        <v>1234</v>
      </c>
    </row>
    <row r="858" spans="1:2" x14ac:dyDescent="0.3">
      <c r="A858" t="s">
        <v>972</v>
      </c>
      <c r="B858" t="s">
        <v>1234</v>
      </c>
    </row>
    <row r="859" spans="1:2" x14ac:dyDescent="0.3">
      <c r="A859" t="s">
        <v>978</v>
      </c>
      <c r="B859" t="s">
        <v>1234</v>
      </c>
    </row>
    <row r="860" spans="1:2" x14ac:dyDescent="0.3">
      <c r="A860" t="s">
        <v>983</v>
      </c>
      <c r="B860" t="s">
        <v>1234</v>
      </c>
    </row>
    <row r="861" spans="1:2" x14ac:dyDescent="0.3">
      <c r="A861" t="s">
        <v>987</v>
      </c>
      <c r="B861" t="s">
        <v>1234</v>
      </c>
    </row>
    <row r="862" spans="1:2" x14ac:dyDescent="0.3">
      <c r="A862" t="s">
        <v>991</v>
      </c>
      <c r="B862" t="s">
        <v>1234</v>
      </c>
    </row>
    <row r="863" spans="1:2" x14ac:dyDescent="0.3">
      <c r="A863" t="s">
        <v>996</v>
      </c>
      <c r="B863" t="s">
        <v>1234</v>
      </c>
    </row>
    <row r="864" spans="1:2" x14ac:dyDescent="0.3">
      <c r="A864" t="s">
        <v>1001</v>
      </c>
      <c r="B864" t="s">
        <v>1234</v>
      </c>
    </row>
    <row r="865" spans="1:2" x14ac:dyDescent="0.3">
      <c r="A865" t="s">
        <v>1011</v>
      </c>
      <c r="B865" t="s">
        <v>1234</v>
      </c>
    </row>
    <row r="866" spans="1:2" x14ac:dyDescent="0.3">
      <c r="A866" t="s">
        <v>1018</v>
      </c>
      <c r="B866" t="s">
        <v>1234</v>
      </c>
    </row>
    <row r="867" spans="1:2" x14ac:dyDescent="0.3">
      <c r="A867" t="s">
        <v>1028</v>
      </c>
      <c r="B867" t="s">
        <v>1234</v>
      </c>
    </row>
    <row r="868" spans="1:2" x14ac:dyDescent="0.3">
      <c r="A868" t="s">
        <v>1035</v>
      </c>
      <c r="B868" t="s">
        <v>1234</v>
      </c>
    </row>
    <row r="869" spans="1:2" x14ac:dyDescent="0.3">
      <c r="A869" t="s">
        <v>1039</v>
      </c>
      <c r="B869" t="s">
        <v>1234</v>
      </c>
    </row>
    <row r="870" spans="1:2" x14ac:dyDescent="0.3">
      <c r="A870" t="s">
        <v>1046</v>
      </c>
      <c r="B870" t="s">
        <v>1234</v>
      </c>
    </row>
    <row r="871" spans="1:2" x14ac:dyDescent="0.3">
      <c r="A871" t="s">
        <v>1052</v>
      </c>
      <c r="B871" t="s">
        <v>1234</v>
      </c>
    </row>
    <row r="872" spans="1:2" x14ac:dyDescent="0.3">
      <c r="A872" t="s">
        <v>1059</v>
      </c>
      <c r="B872" t="s">
        <v>1234</v>
      </c>
    </row>
    <row r="873" spans="1:2" x14ac:dyDescent="0.3">
      <c r="A873" t="s">
        <v>1064</v>
      </c>
      <c r="B873" t="s">
        <v>1234</v>
      </c>
    </row>
    <row r="874" spans="1:2" x14ac:dyDescent="0.3">
      <c r="A874" t="s">
        <v>1069</v>
      </c>
      <c r="B874" t="s">
        <v>1234</v>
      </c>
    </row>
    <row r="875" spans="1:2" x14ac:dyDescent="0.3">
      <c r="A875" t="s">
        <v>1073</v>
      </c>
      <c r="B875" t="s">
        <v>1234</v>
      </c>
    </row>
    <row r="876" spans="1:2" x14ac:dyDescent="0.3">
      <c r="A876" t="s">
        <v>1079</v>
      </c>
      <c r="B876" t="s">
        <v>1234</v>
      </c>
    </row>
    <row r="877" spans="1:2" x14ac:dyDescent="0.3">
      <c r="A877" t="s">
        <v>1084</v>
      </c>
      <c r="B877" t="s">
        <v>1234</v>
      </c>
    </row>
    <row r="878" spans="1:2" x14ac:dyDescent="0.3">
      <c r="A878" t="s">
        <v>1089</v>
      </c>
      <c r="B878" t="s">
        <v>1234</v>
      </c>
    </row>
    <row r="879" spans="1:2" x14ac:dyDescent="0.3">
      <c r="A879" t="s">
        <v>1095</v>
      </c>
      <c r="B879" t="s">
        <v>1234</v>
      </c>
    </row>
    <row r="880" spans="1:2" x14ac:dyDescent="0.3">
      <c r="A880" t="s">
        <v>1101</v>
      </c>
      <c r="B880" t="s">
        <v>1234</v>
      </c>
    </row>
    <row r="881" spans="1:48" x14ac:dyDescent="0.3">
      <c r="A881" t="s">
        <v>1106</v>
      </c>
      <c r="B881" t="s">
        <v>1234</v>
      </c>
    </row>
    <row r="882" spans="1:48" x14ac:dyDescent="0.3">
      <c r="A882" t="s">
        <v>1110</v>
      </c>
      <c r="B882" t="s">
        <v>1234</v>
      </c>
    </row>
    <row r="883" spans="1:48" x14ac:dyDescent="0.3">
      <c r="A883" t="s">
        <v>1117</v>
      </c>
      <c r="B883" t="s">
        <v>1234</v>
      </c>
    </row>
    <row r="884" spans="1:48" x14ac:dyDescent="0.3">
      <c r="A884" t="s">
        <v>1123</v>
      </c>
      <c r="B884" t="s">
        <v>1234</v>
      </c>
    </row>
    <row r="885" spans="1:48" x14ac:dyDescent="0.3">
      <c r="A885" t="s">
        <v>1127</v>
      </c>
      <c r="B885" t="s">
        <v>1234</v>
      </c>
    </row>
    <row r="886" spans="1:48" x14ac:dyDescent="0.3">
      <c r="A886" t="s">
        <v>1134</v>
      </c>
      <c r="B886" t="s">
        <v>1234</v>
      </c>
    </row>
    <row r="887" spans="1:48" x14ac:dyDescent="0.3">
      <c r="A887" t="s">
        <v>1140</v>
      </c>
      <c r="B887" t="s">
        <v>1234</v>
      </c>
    </row>
    <row r="888" spans="1:48" x14ac:dyDescent="0.3">
      <c r="A888" t="s">
        <v>1144</v>
      </c>
      <c r="B888" t="s">
        <v>1234</v>
      </c>
    </row>
    <row r="889" spans="1:48" x14ac:dyDescent="0.3">
      <c r="A889" t="s">
        <v>1151</v>
      </c>
      <c r="B889" t="s">
        <v>1234</v>
      </c>
    </row>
    <row r="890" spans="1:48" x14ac:dyDescent="0.3">
      <c r="A890" t="s">
        <v>1159</v>
      </c>
      <c r="B890" t="s">
        <v>1234</v>
      </c>
    </row>
    <row r="891" spans="1:48" x14ac:dyDescent="0.3">
      <c r="A891" t="s">
        <v>1166</v>
      </c>
      <c r="B891" t="s">
        <v>1234</v>
      </c>
    </row>
    <row r="892" spans="1:48" x14ac:dyDescent="0.3">
      <c r="A892" t="s">
        <v>1172</v>
      </c>
      <c r="B892" t="s">
        <v>1234</v>
      </c>
    </row>
    <row r="893" spans="1:48" x14ac:dyDescent="0.3">
      <c r="A893" t="s">
        <v>1181</v>
      </c>
      <c r="B893" t="s">
        <v>1234</v>
      </c>
    </row>
    <row r="895" spans="1:48" x14ac:dyDescent="0.3">
      <c r="A895" s="23" t="s">
        <v>1239</v>
      </c>
      <c r="B895" s="24"/>
      <c r="C895" s="24"/>
      <c r="D895" s="24"/>
      <c r="E895" s="24"/>
    </row>
    <row r="896" spans="1:48" x14ac:dyDescent="0.3">
      <c r="B896" t="s">
        <v>5</v>
      </c>
      <c r="C896" t="s">
        <v>5</v>
      </c>
      <c r="D896" t="s">
        <v>5</v>
      </c>
      <c r="E896" t="s">
        <v>5</v>
      </c>
      <c r="F896" t="s">
        <v>5</v>
      </c>
      <c r="G896" t="s">
        <v>5</v>
      </c>
      <c r="H896" t="s">
        <v>6</v>
      </c>
      <c r="I896" t="s">
        <v>7</v>
      </c>
      <c r="J896" t="s">
        <v>7</v>
      </c>
      <c r="K896" t="s">
        <v>7</v>
      </c>
      <c r="L896" t="s">
        <v>7</v>
      </c>
      <c r="O896" t="s">
        <v>8</v>
      </c>
      <c r="P896" t="s">
        <v>8</v>
      </c>
      <c r="Q896" t="s">
        <v>8</v>
      </c>
      <c r="R896" t="s">
        <v>9</v>
      </c>
      <c r="S896" t="s">
        <v>9</v>
      </c>
      <c r="T896" t="s">
        <v>10</v>
      </c>
      <c r="U896" t="s">
        <v>10</v>
      </c>
      <c r="V896" t="s">
        <v>10</v>
      </c>
      <c r="W896" t="s">
        <v>10</v>
      </c>
      <c r="X896" t="s">
        <v>10</v>
      </c>
      <c r="Y896" t="s">
        <v>10</v>
      </c>
      <c r="Z896" t="s">
        <v>10</v>
      </c>
      <c r="AA896" t="s">
        <v>10</v>
      </c>
      <c r="AB896" t="s">
        <v>10</v>
      </c>
      <c r="AC896" t="s">
        <v>10</v>
      </c>
      <c r="AD896" t="s">
        <v>10</v>
      </c>
      <c r="AE896" t="s">
        <v>10</v>
      </c>
      <c r="AF896" t="s">
        <v>11</v>
      </c>
      <c r="AG896" t="s">
        <v>11</v>
      </c>
      <c r="AK896" t="s">
        <v>12</v>
      </c>
      <c r="AL896" t="s">
        <v>13</v>
      </c>
      <c r="AM896" t="s">
        <v>13</v>
      </c>
      <c r="AN896" t="s">
        <v>13</v>
      </c>
      <c r="AO896" t="s">
        <v>13</v>
      </c>
      <c r="AP896" t="s">
        <v>13</v>
      </c>
      <c r="AQ896" t="s">
        <v>13</v>
      </c>
      <c r="AR896" t="s">
        <v>14</v>
      </c>
      <c r="AS896" t="s">
        <v>14</v>
      </c>
      <c r="AT896" t="s">
        <v>14</v>
      </c>
      <c r="AU896" t="s">
        <v>15</v>
      </c>
      <c r="AV896" t="s">
        <v>15</v>
      </c>
    </row>
    <row r="897" spans="1:48" x14ac:dyDescent="0.3">
      <c r="B897" t="s">
        <v>16</v>
      </c>
      <c r="C897" t="s">
        <v>16</v>
      </c>
      <c r="D897" t="s">
        <v>17</v>
      </c>
      <c r="E897" t="s">
        <v>17</v>
      </c>
      <c r="F897" t="s">
        <v>1240</v>
      </c>
      <c r="G897" t="s">
        <v>1240</v>
      </c>
      <c r="H897" t="s">
        <v>19</v>
      </c>
      <c r="I897" t="s">
        <v>20</v>
      </c>
      <c r="J897" t="s">
        <v>20</v>
      </c>
      <c r="K897" t="s">
        <v>21</v>
      </c>
      <c r="L897" t="s">
        <v>21</v>
      </c>
      <c r="O897" t="s">
        <v>1241</v>
      </c>
      <c r="P897" t="s">
        <v>23</v>
      </c>
      <c r="Q897" t="s">
        <v>24</v>
      </c>
      <c r="R897" t="s">
        <v>25</v>
      </c>
      <c r="S897" t="s">
        <v>25</v>
      </c>
      <c r="T897" t="s">
        <v>1242</v>
      </c>
      <c r="U897" t="s">
        <v>1242</v>
      </c>
      <c r="V897" t="s">
        <v>1243</v>
      </c>
      <c r="W897" t="s">
        <v>1243</v>
      </c>
      <c r="X897" t="s">
        <v>26</v>
      </c>
      <c r="Y897" t="s">
        <v>26</v>
      </c>
      <c r="Z897" t="s">
        <v>27</v>
      </c>
      <c r="AA897" t="s">
        <v>27</v>
      </c>
      <c r="AB897" t="s">
        <v>27</v>
      </c>
      <c r="AC897" t="s">
        <v>27</v>
      </c>
      <c r="AD897" t="s">
        <v>29</v>
      </c>
      <c r="AE897" t="s">
        <v>29</v>
      </c>
      <c r="AF897" t="s">
        <v>31</v>
      </c>
      <c r="AG897" t="s">
        <v>32</v>
      </c>
      <c r="AK897" t="s">
        <v>19</v>
      </c>
      <c r="AL897" t="s">
        <v>18</v>
      </c>
      <c r="AM897" t="s">
        <v>18</v>
      </c>
      <c r="AN897" t="s">
        <v>1244</v>
      </c>
      <c r="AO897" t="s">
        <v>1244</v>
      </c>
      <c r="AP897" t="s">
        <v>1245</v>
      </c>
      <c r="AQ897" t="s">
        <v>1245</v>
      </c>
      <c r="AR897" t="s">
        <v>35</v>
      </c>
      <c r="AS897" t="s">
        <v>36</v>
      </c>
      <c r="AT897" t="s">
        <v>36</v>
      </c>
      <c r="AU897" t="s">
        <v>37</v>
      </c>
      <c r="AV897" t="s">
        <v>38</v>
      </c>
    </row>
    <row r="898" spans="1:48" x14ac:dyDescent="0.3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40</v>
      </c>
      <c r="G898" t="s">
        <v>41</v>
      </c>
      <c r="H898" t="s">
        <v>41</v>
      </c>
      <c r="I898" t="s">
        <v>40</v>
      </c>
      <c r="J898" t="s">
        <v>44</v>
      </c>
      <c r="K898" t="s">
        <v>42</v>
      </c>
      <c r="L898" t="s">
        <v>45</v>
      </c>
      <c r="O898" t="s">
        <v>41</v>
      </c>
      <c r="P898" t="s">
        <v>41</v>
      </c>
      <c r="Q898" t="s">
        <v>45</v>
      </c>
      <c r="R898" t="s">
        <v>40</v>
      </c>
      <c r="S898" t="s">
        <v>45</v>
      </c>
      <c r="T898" t="s">
        <v>40</v>
      </c>
      <c r="U898" t="s">
        <v>41</v>
      </c>
      <c r="V898" t="s">
        <v>40</v>
      </c>
      <c r="W898" t="s">
        <v>41</v>
      </c>
      <c r="X898" t="s">
        <v>40</v>
      </c>
      <c r="Y898" t="s">
        <v>41</v>
      </c>
      <c r="Z898" t="s">
        <v>40</v>
      </c>
      <c r="AA898" t="s">
        <v>42</v>
      </c>
      <c r="AB898" t="s">
        <v>41</v>
      </c>
      <c r="AC898" t="s">
        <v>43</v>
      </c>
      <c r="AD898" t="s">
        <v>42</v>
      </c>
      <c r="AE898" t="s">
        <v>43</v>
      </c>
      <c r="AF898" t="s">
        <v>46</v>
      </c>
      <c r="AG898" t="s">
        <v>46</v>
      </c>
      <c r="AK898" t="s">
        <v>41</v>
      </c>
      <c r="AL898" t="s">
        <v>40</v>
      </c>
      <c r="AM898" t="s">
        <v>41</v>
      </c>
      <c r="AN898" t="s">
        <v>40</v>
      </c>
      <c r="AO898" t="s">
        <v>41</v>
      </c>
      <c r="AP898" t="s">
        <v>42</v>
      </c>
      <c r="AQ898" t="s">
        <v>43</v>
      </c>
      <c r="AR898" t="s">
        <v>41</v>
      </c>
      <c r="AS898" t="s">
        <v>45</v>
      </c>
      <c r="AT898" t="s">
        <v>41</v>
      </c>
      <c r="AU898" t="s">
        <v>46</v>
      </c>
      <c r="AV898" t="s">
        <v>47</v>
      </c>
    </row>
    <row r="899" spans="1:48" x14ac:dyDescent="0.3">
      <c r="A899" t="s">
        <v>48</v>
      </c>
      <c r="B899" t="s">
        <v>516</v>
      </c>
      <c r="D899" t="s">
        <v>298</v>
      </c>
      <c r="F899" t="s">
        <v>1246</v>
      </c>
      <c r="O899" t="s">
        <v>52</v>
      </c>
      <c r="P899" t="s">
        <v>52</v>
      </c>
      <c r="Q899" t="s">
        <v>52</v>
      </c>
      <c r="R899" t="s">
        <v>1247</v>
      </c>
      <c r="S899" t="s">
        <v>1248</v>
      </c>
      <c r="V899" t="s">
        <v>1249</v>
      </c>
      <c r="Z899" t="s">
        <v>1250</v>
      </c>
      <c r="AD899" t="s">
        <v>483</v>
      </c>
      <c r="AF899" t="s">
        <v>478</v>
      </c>
      <c r="AL899" t="s">
        <v>1251</v>
      </c>
      <c r="AN899" t="s">
        <v>1252</v>
      </c>
      <c r="AP899" t="s">
        <v>777</v>
      </c>
      <c r="AU899" t="s">
        <v>133</v>
      </c>
      <c r="AV899" t="s">
        <v>249</v>
      </c>
    </row>
    <row r="900" spans="1:48" x14ac:dyDescent="0.3">
      <c r="A900" t="s">
        <v>61</v>
      </c>
      <c r="B900" t="s">
        <v>471</v>
      </c>
      <c r="D900" t="s">
        <v>460</v>
      </c>
      <c r="F900" t="s">
        <v>1253</v>
      </c>
      <c r="O900" t="s">
        <v>52</v>
      </c>
      <c r="P900" t="s">
        <v>52</v>
      </c>
      <c r="Q900" t="s">
        <v>52</v>
      </c>
      <c r="R900" t="s">
        <v>1254</v>
      </c>
      <c r="S900" t="s">
        <v>1255</v>
      </c>
      <c r="V900" t="s">
        <v>1256</v>
      </c>
      <c r="Z900" t="s">
        <v>1257</v>
      </c>
      <c r="AD900" t="s">
        <v>596</v>
      </c>
      <c r="AF900" t="s">
        <v>70</v>
      </c>
      <c r="AL900" t="s">
        <v>1258</v>
      </c>
      <c r="AN900" t="s">
        <v>1259</v>
      </c>
      <c r="AP900" t="s">
        <v>1260</v>
      </c>
      <c r="AU900" t="s">
        <v>71</v>
      </c>
      <c r="AV900" t="s">
        <v>249</v>
      </c>
    </row>
    <row r="901" spans="1:48" x14ac:dyDescent="0.3">
      <c r="A901" t="s">
        <v>72</v>
      </c>
      <c r="B901" t="s">
        <v>50</v>
      </c>
      <c r="D901" t="s">
        <v>541</v>
      </c>
      <c r="F901" t="s">
        <v>1261</v>
      </c>
      <c r="O901" t="s">
        <v>52</v>
      </c>
      <c r="P901" t="s">
        <v>52</v>
      </c>
      <c r="Q901" t="s">
        <v>52</v>
      </c>
      <c r="R901" t="s">
        <v>1262</v>
      </c>
      <c r="S901" t="s">
        <v>1263</v>
      </c>
      <c r="V901" t="s">
        <v>1264</v>
      </c>
      <c r="Z901" t="s">
        <v>853</v>
      </c>
      <c r="AD901" t="s">
        <v>1265</v>
      </c>
      <c r="AF901" t="s">
        <v>90</v>
      </c>
      <c r="AL901" t="s">
        <v>254</v>
      </c>
      <c r="AN901" t="s">
        <v>1266</v>
      </c>
      <c r="AP901" t="s">
        <v>489</v>
      </c>
      <c r="AU901" t="s">
        <v>94</v>
      </c>
      <c r="AV901" t="s">
        <v>66</v>
      </c>
    </row>
    <row r="902" spans="1:48" x14ac:dyDescent="0.3">
      <c r="A902" t="s">
        <v>83</v>
      </c>
      <c r="B902" t="s">
        <v>449</v>
      </c>
      <c r="D902" t="s">
        <v>297</v>
      </c>
      <c r="F902" t="s">
        <v>1267</v>
      </c>
      <c r="O902" t="s">
        <v>52</v>
      </c>
      <c r="P902" t="s">
        <v>52</v>
      </c>
      <c r="Q902" t="s">
        <v>52</v>
      </c>
      <c r="R902" t="s">
        <v>1268</v>
      </c>
      <c r="S902" t="s">
        <v>1269</v>
      </c>
      <c r="T902" t="s">
        <v>1270</v>
      </c>
      <c r="X902" t="s">
        <v>1271</v>
      </c>
      <c r="AA902" t="s">
        <v>1272</v>
      </c>
      <c r="AG902" t="s">
        <v>79</v>
      </c>
      <c r="AL902" t="s">
        <v>1273</v>
      </c>
      <c r="AN902" t="s">
        <v>1274</v>
      </c>
      <c r="AP902" t="s">
        <v>1162</v>
      </c>
      <c r="AU902" t="s">
        <v>158</v>
      </c>
      <c r="AV902" t="s">
        <v>249</v>
      </c>
    </row>
    <row r="903" spans="1:48" x14ac:dyDescent="0.3">
      <c r="A903" t="s">
        <v>95</v>
      </c>
      <c r="B903" t="s">
        <v>1234</v>
      </c>
      <c r="D903" t="s">
        <v>1234</v>
      </c>
      <c r="F903" t="s">
        <v>1234</v>
      </c>
      <c r="I903" t="s">
        <v>1234</v>
      </c>
      <c r="K903" t="s">
        <v>1234</v>
      </c>
      <c r="O903" t="s">
        <v>1234</v>
      </c>
      <c r="P903" t="s">
        <v>1234</v>
      </c>
      <c r="Q903" t="s">
        <v>1234</v>
      </c>
      <c r="R903" t="s">
        <v>1234</v>
      </c>
      <c r="S903" t="s">
        <v>1234</v>
      </c>
      <c r="T903" t="s">
        <v>1234</v>
      </c>
      <c r="X903" t="s">
        <v>1234</v>
      </c>
      <c r="AA903" t="s">
        <v>1234</v>
      </c>
      <c r="AG903" t="s">
        <v>1234</v>
      </c>
      <c r="AL903" t="s">
        <v>1234</v>
      </c>
      <c r="AN903" t="s">
        <v>1234</v>
      </c>
      <c r="AP903" t="s">
        <v>1234</v>
      </c>
      <c r="AU903" t="s">
        <v>1234</v>
      </c>
      <c r="AV903" t="s">
        <v>1234</v>
      </c>
    </row>
    <row r="904" spans="1:48" x14ac:dyDescent="0.3">
      <c r="A904" t="s">
        <v>109</v>
      </c>
      <c r="B904" t="s">
        <v>201</v>
      </c>
      <c r="D904" t="s">
        <v>531</v>
      </c>
      <c r="F904" t="s">
        <v>1275</v>
      </c>
      <c r="I904" t="s">
        <v>435</v>
      </c>
      <c r="K904" t="s">
        <v>527</v>
      </c>
      <c r="O904" t="s">
        <v>52</v>
      </c>
      <c r="P904" t="s">
        <v>52</v>
      </c>
      <c r="Q904" t="s">
        <v>52</v>
      </c>
      <c r="R904" t="s">
        <v>1276</v>
      </c>
      <c r="S904" t="s">
        <v>1277</v>
      </c>
      <c r="T904" t="s">
        <v>1192</v>
      </c>
      <c r="X904" t="s">
        <v>53</v>
      </c>
      <c r="AA904" t="s">
        <v>53</v>
      </c>
      <c r="AG904" t="s">
        <v>460</v>
      </c>
      <c r="AL904" t="s">
        <v>1278</v>
      </c>
      <c r="AN904" t="s">
        <v>1279</v>
      </c>
      <c r="AP904" t="s">
        <v>1280</v>
      </c>
      <c r="AU904" t="s">
        <v>249</v>
      </c>
      <c r="AV904" t="s">
        <v>263</v>
      </c>
    </row>
    <row r="905" spans="1:48" x14ac:dyDescent="0.3">
      <c r="A905" t="s">
        <v>122</v>
      </c>
      <c r="B905" t="s">
        <v>284</v>
      </c>
      <c r="D905" t="s">
        <v>228</v>
      </c>
      <c r="F905" t="s">
        <v>1281</v>
      </c>
      <c r="I905" t="s">
        <v>1136</v>
      </c>
      <c r="K905" t="s">
        <v>1282</v>
      </c>
      <c r="O905" t="s">
        <v>52</v>
      </c>
      <c r="P905" t="s">
        <v>52</v>
      </c>
      <c r="Q905" t="s">
        <v>52</v>
      </c>
      <c r="R905" t="s">
        <v>1283</v>
      </c>
      <c r="S905" t="s">
        <v>1284</v>
      </c>
      <c r="T905" t="s">
        <v>1285</v>
      </c>
      <c r="X905" t="s">
        <v>1286</v>
      </c>
      <c r="AA905" t="s">
        <v>1287</v>
      </c>
      <c r="AG905" t="s">
        <v>305</v>
      </c>
      <c r="AL905" t="s">
        <v>1288</v>
      </c>
      <c r="AN905" t="s">
        <v>1289</v>
      </c>
      <c r="AP905" t="s">
        <v>1164</v>
      </c>
      <c r="AU905" t="s">
        <v>274</v>
      </c>
      <c r="AV905" t="s">
        <v>206</v>
      </c>
    </row>
    <row r="906" spans="1:48" x14ac:dyDescent="0.3">
      <c r="A906" t="s">
        <v>135</v>
      </c>
      <c r="B906" t="s">
        <v>403</v>
      </c>
      <c r="D906" t="s">
        <v>59</v>
      </c>
      <c r="F906" t="s">
        <v>1290</v>
      </c>
      <c r="I906" t="s">
        <v>489</v>
      </c>
      <c r="K906" t="s">
        <v>1291</v>
      </c>
      <c r="O906" t="s">
        <v>52</v>
      </c>
      <c r="P906" t="s">
        <v>52</v>
      </c>
      <c r="Q906" t="s">
        <v>52</v>
      </c>
      <c r="R906" t="s">
        <v>1292</v>
      </c>
      <c r="S906" t="s">
        <v>1293</v>
      </c>
      <c r="T906" t="s">
        <v>597</v>
      </c>
      <c r="X906" t="s">
        <v>1294</v>
      </c>
      <c r="AA906" t="s">
        <v>398</v>
      </c>
      <c r="AG906" t="s">
        <v>386</v>
      </c>
      <c r="AL906" t="s">
        <v>1295</v>
      </c>
      <c r="AN906" t="s">
        <v>1296</v>
      </c>
      <c r="AP906" t="s">
        <v>1297</v>
      </c>
      <c r="AU906" t="s">
        <v>228</v>
      </c>
      <c r="AV906" t="s">
        <v>56</v>
      </c>
    </row>
    <row r="907" spans="1:48" x14ac:dyDescent="0.3">
      <c r="A907" t="s">
        <v>148</v>
      </c>
      <c r="B907" t="s">
        <v>73</v>
      </c>
      <c r="D907" t="s">
        <v>724</v>
      </c>
      <c r="F907" t="s">
        <v>1298</v>
      </c>
      <c r="I907" t="s">
        <v>307</v>
      </c>
      <c r="K907" t="s">
        <v>1291</v>
      </c>
      <c r="O907" t="s">
        <v>52</v>
      </c>
      <c r="P907" t="s">
        <v>52</v>
      </c>
      <c r="Q907" t="s">
        <v>52</v>
      </c>
      <c r="R907" t="s">
        <v>1299</v>
      </c>
      <c r="S907" t="s">
        <v>1300</v>
      </c>
      <c r="T907" t="s">
        <v>1192</v>
      </c>
      <c r="X907" t="s">
        <v>53</v>
      </c>
      <c r="AA907" t="s">
        <v>53</v>
      </c>
      <c r="AG907" t="s">
        <v>386</v>
      </c>
      <c r="AL907" t="s">
        <v>1301</v>
      </c>
      <c r="AN907" t="s">
        <v>1296</v>
      </c>
      <c r="AP907" t="s">
        <v>1302</v>
      </c>
      <c r="AU907" t="s">
        <v>158</v>
      </c>
      <c r="AV907" t="s">
        <v>274</v>
      </c>
    </row>
    <row r="908" spans="1:48" x14ac:dyDescent="0.3">
      <c r="A908" t="s">
        <v>159</v>
      </c>
      <c r="B908" t="s">
        <v>460</v>
      </c>
      <c r="D908" t="s">
        <v>531</v>
      </c>
      <c r="F908" t="s">
        <v>1303</v>
      </c>
      <c r="O908" t="s">
        <v>52</v>
      </c>
      <c r="P908" t="s">
        <v>52</v>
      </c>
      <c r="Q908" t="s">
        <v>52</v>
      </c>
      <c r="R908" t="s">
        <v>1304</v>
      </c>
      <c r="S908" t="s">
        <v>1305</v>
      </c>
      <c r="T908" t="s">
        <v>1192</v>
      </c>
      <c r="X908" t="s">
        <v>53</v>
      </c>
      <c r="AA908" t="s">
        <v>53</v>
      </c>
      <c r="AG908" t="s">
        <v>570</v>
      </c>
      <c r="AL908" t="s">
        <v>1306</v>
      </c>
      <c r="AN908" t="s">
        <v>1307</v>
      </c>
      <c r="AP908" t="s">
        <v>1308</v>
      </c>
      <c r="AU908" t="s">
        <v>134</v>
      </c>
      <c r="AV908" t="s">
        <v>206</v>
      </c>
    </row>
    <row r="909" spans="1:48" x14ac:dyDescent="0.3">
      <c r="A909" t="s">
        <v>166</v>
      </c>
      <c r="B909" t="s">
        <v>110</v>
      </c>
      <c r="D909" t="s">
        <v>167</v>
      </c>
      <c r="F909" t="s">
        <v>1309</v>
      </c>
      <c r="O909" t="s">
        <v>52</v>
      </c>
      <c r="P909" t="s">
        <v>52</v>
      </c>
      <c r="Q909" t="s">
        <v>52</v>
      </c>
      <c r="R909" t="s">
        <v>1310</v>
      </c>
      <c r="S909" t="s">
        <v>1311</v>
      </c>
      <c r="V909" t="s">
        <v>1192</v>
      </c>
      <c r="Z909" t="s">
        <v>53</v>
      </c>
      <c r="AD909" t="s">
        <v>53</v>
      </c>
      <c r="AF909" t="s">
        <v>274</v>
      </c>
      <c r="AL909" t="s">
        <v>1312</v>
      </c>
      <c r="AN909" t="s">
        <v>1313</v>
      </c>
      <c r="AP909" t="s">
        <v>81</v>
      </c>
      <c r="AU909" t="s">
        <v>94</v>
      </c>
      <c r="AV909" t="s">
        <v>56</v>
      </c>
    </row>
    <row r="910" spans="1:48" x14ac:dyDescent="0.3">
      <c r="A910" t="s">
        <v>176</v>
      </c>
      <c r="B910" t="s">
        <v>471</v>
      </c>
      <c r="D910" t="s">
        <v>96</v>
      </c>
      <c r="F910" t="s">
        <v>1314</v>
      </c>
      <c r="O910" t="s">
        <v>52</v>
      </c>
      <c r="P910" t="s">
        <v>52</v>
      </c>
      <c r="Q910" t="s">
        <v>52</v>
      </c>
      <c r="R910" t="s">
        <v>1315</v>
      </c>
      <c r="S910" t="s">
        <v>1316</v>
      </c>
      <c r="V910" t="s">
        <v>162</v>
      </c>
      <c r="Z910" t="s">
        <v>1317</v>
      </c>
      <c r="AD910" t="s">
        <v>970</v>
      </c>
      <c r="AF910" t="s">
        <v>289</v>
      </c>
      <c r="AL910" t="s">
        <v>1318</v>
      </c>
      <c r="AN910" t="s">
        <v>1319</v>
      </c>
      <c r="AP910" t="s">
        <v>1320</v>
      </c>
      <c r="AU910" t="s">
        <v>94</v>
      </c>
      <c r="AV910" t="s">
        <v>121</v>
      </c>
    </row>
    <row r="911" spans="1:48" x14ac:dyDescent="0.3">
      <c r="A911" t="s">
        <v>185</v>
      </c>
      <c r="B911" t="s">
        <v>630</v>
      </c>
      <c r="D911" t="s">
        <v>304</v>
      </c>
      <c r="F911" t="s">
        <v>1321</v>
      </c>
      <c r="O911" t="s">
        <v>52</v>
      </c>
      <c r="P911" t="s">
        <v>52</v>
      </c>
      <c r="Q911" t="s">
        <v>52</v>
      </c>
      <c r="R911" t="s">
        <v>1322</v>
      </c>
      <c r="S911" t="s">
        <v>1323</v>
      </c>
      <c r="V911" t="s">
        <v>1324</v>
      </c>
      <c r="Z911" t="s">
        <v>1325</v>
      </c>
      <c r="AD911" t="s">
        <v>1326</v>
      </c>
      <c r="AF911" t="s">
        <v>440</v>
      </c>
      <c r="AL911" t="s">
        <v>1327</v>
      </c>
      <c r="AN911" t="s">
        <v>417</v>
      </c>
      <c r="AP911" t="s">
        <v>1328</v>
      </c>
      <c r="AU911" t="s">
        <v>274</v>
      </c>
      <c r="AV911" t="s">
        <v>121</v>
      </c>
    </row>
    <row r="912" spans="1:48" x14ac:dyDescent="0.3">
      <c r="A912" t="s">
        <v>192</v>
      </c>
      <c r="B912" t="s">
        <v>304</v>
      </c>
      <c r="D912" t="s">
        <v>96</v>
      </c>
      <c r="F912" t="s">
        <v>1329</v>
      </c>
      <c r="O912" t="s">
        <v>52</v>
      </c>
      <c r="P912" t="s">
        <v>52</v>
      </c>
      <c r="Q912" t="s">
        <v>52</v>
      </c>
      <c r="R912" t="s">
        <v>1330</v>
      </c>
      <c r="S912" t="s">
        <v>1331</v>
      </c>
      <c r="V912" t="s">
        <v>1332</v>
      </c>
      <c r="Z912" t="s">
        <v>1333</v>
      </c>
      <c r="AD912" t="s">
        <v>885</v>
      </c>
      <c r="AF912" t="s">
        <v>462</v>
      </c>
      <c r="AL912" t="s">
        <v>1334</v>
      </c>
      <c r="AN912" t="s">
        <v>1162</v>
      </c>
      <c r="AP912" t="s">
        <v>1335</v>
      </c>
      <c r="AU912" t="s">
        <v>274</v>
      </c>
      <c r="AV912" t="s">
        <v>117</v>
      </c>
    </row>
    <row r="913" spans="1:48" x14ac:dyDescent="0.3">
      <c r="A913" t="s">
        <v>200</v>
      </c>
      <c r="B913" t="s">
        <v>55</v>
      </c>
      <c r="D913" t="s">
        <v>117</v>
      </c>
      <c r="F913" t="s">
        <v>1336</v>
      </c>
      <c r="O913" t="s">
        <v>52</v>
      </c>
      <c r="P913" t="s">
        <v>52</v>
      </c>
      <c r="Q913" t="s">
        <v>52</v>
      </c>
      <c r="R913" t="s">
        <v>1337</v>
      </c>
      <c r="S913" t="s">
        <v>1338</v>
      </c>
      <c r="V913" t="s">
        <v>695</v>
      </c>
      <c r="Z913" t="s">
        <v>1339</v>
      </c>
      <c r="AD913" t="s">
        <v>1340</v>
      </c>
      <c r="AF913" t="s">
        <v>356</v>
      </c>
      <c r="AL913" t="s">
        <v>1341</v>
      </c>
      <c r="AN913" t="s">
        <v>1164</v>
      </c>
      <c r="AP913" t="s">
        <v>1279</v>
      </c>
      <c r="AU913" t="s">
        <v>274</v>
      </c>
      <c r="AV913" t="s">
        <v>206</v>
      </c>
    </row>
    <row r="914" spans="1:48" x14ac:dyDescent="0.3">
      <c r="A914" t="s">
        <v>209</v>
      </c>
      <c r="B914" t="s">
        <v>59</v>
      </c>
      <c r="D914" t="s">
        <v>121</v>
      </c>
      <c r="F914" t="s">
        <v>1342</v>
      </c>
      <c r="O914" t="s">
        <v>52</v>
      </c>
      <c r="P914" t="s">
        <v>52</v>
      </c>
      <c r="Q914" t="s">
        <v>52</v>
      </c>
      <c r="R914" t="s">
        <v>1343</v>
      </c>
      <c r="S914" t="s">
        <v>1344</v>
      </c>
      <c r="T914" t="s">
        <v>1192</v>
      </c>
      <c r="X914" t="s">
        <v>53</v>
      </c>
      <c r="AA914" t="s">
        <v>53</v>
      </c>
      <c r="AG914" t="s">
        <v>301</v>
      </c>
      <c r="AL914" t="s">
        <v>1345</v>
      </c>
      <c r="AN914" t="s">
        <v>225</v>
      </c>
      <c r="AP914" t="s">
        <v>1346</v>
      </c>
      <c r="AU914" t="s">
        <v>249</v>
      </c>
      <c r="AV914" t="s">
        <v>391</v>
      </c>
    </row>
    <row r="915" spans="1:48" x14ac:dyDescent="0.3">
      <c r="A915" t="s">
        <v>217</v>
      </c>
      <c r="B915" t="s">
        <v>194</v>
      </c>
      <c r="D915" t="s">
        <v>55</v>
      </c>
      <c r="F915" t="s">
        <v>1347</v>
      </c>
      <c r="I915" t="s">
        <v>1348</v>
      </c>
      <c r="K915" t="s">
        <v>1349</v>
      </c>
      <c r="O915" t="s">
        <v>52</v>
      </c>
      <c r="P915" t="s">
        <v>52</v>
      </c>
      <c r="Q915" t="s">
        <v>52</v>
      </c>
      <c r="R915" t="s">
        <v>1350</v>
      </c>
      <c r="S915" t="s">
        <v>1351</v>
      </c>
      <c r="T915" t="s">
        <v>1352</v>
      </c>
      <c r="X915" t="s">
        <v>1353</v>
      </c>
      <c r="AA915" t="s">
        <v>1354</v>
      </c>
      <c r="AG915" t="s">
        <v>84</v>
      </c>
      <c r="AL915" t="s">
        <v>1355</v>
      </c>
      <c r="AN915" t="s">
        <v>1356</v>
      </c>
      <c r="AP915" t="s">
        <v>1357</v>
      </c>
      <c r="AU915" t="s">
        <v>158</v>
      </c>
      <c r="AV915" t="s">
        <v>121</v>
      </c>
    </row>
    <row r="916" spans="1:48" x14ac:dyDescent="0.3">
      <c r="A916" t="s">
        <v>227</v>
      </c>
      <c r="B916" t="s">
        <v>541</v>
      </c>
      <c r="D916" t="s">
        <v>570</v>
      </c>
      <c r="F916" t="s">
        <v>1358</v>
      </c>
      <c r="I916" t="s">
        <v>1081</v>
      </c>
      <c r="K916" t="s">
        <v>1359</v>
      </c>
      <c r="O916" t="s">
        <v>52</v>
      </c>
      <c r="P916" t="s">
        <v>52</v>
      </c>
      <c r="Q916" t="s">
        <v>52</v>
      </c>
      <c r="R916" t="s">
        <v>1360</v>
      </c>
      <c r="S916" t="s">
        <v>1361</v>
      </c>
      <c r="T916" t="s">
        <v>1192</v>
      </c>
      <c r="X916" t="s">
        <v>53</v>
      </c>
      <c r="AA916" t="s">
        <v>53</v>
      </c>
      <c r="AG916" t="s">
        <v>160</v>
      </c>
      <c r="AL916" t="s">
        <v>1362</v>
      </c>
      <c r="AN916" t="s">
        <v>1363</v>
      </c>
      <c r="AP916" t="s">
        <v>1125</v>
      </c>
      <c r="AU916" t="s">
        <v>274</v>
      </c>
      <c r="AV916" t="s">
        <v>263</v>
      </c>
    </row>
    <row r="917" spans="1:48" x14ac:dyDescent="0.3">
      <c r="A917" t="s">
        <v>238</v>
      </c>
      <c r="B917" t="s">
        <v>707</v>
      </c>
      <c r="D917" t="s">
        <v>147</v>
      </c>
      <c r="F917" t="s">
        <v>1364</v>
      </c>
      <c r="I917" t="s">
        <v>593</v>
      </c>
      <c r="K917" t="s">
        <v>557</v>
      </c>
      <c r="O917" t="s">
        <v>52</v>
      </c>
      <c r="P917" t="s">
        <v>52</v>
      </c>
      <c r="Q917" t="s">
        <v>52</v>
      </c>
      <c r="R917" t="s">
        <v>1365</v>
      </c>
      <c r="S917" t="s">
        <v>1316</v>
      </c>
      <c r="T917" t="s">
        <v>1192</v>
      </c>
      <c r="X917" t="s">
        <v>53</v>
      </c>
      <c r="AA917" t="s">
        <v>53</v>
      </c>
      <c r="AG917" t="s">
        <v>49</v>
      </c>
      <c r="AL917" t="s">
        <v>1366</v>
      </c>
      <c r="AN917" t="s">
        <v>617</v>
      </c>
      <c r="AP917" t="s">
        <v>1367</v>
      </c>
      <c r="AU917" t="s">
        <v>158</v>
      </c>
      <c r="AV917" t="s">
        <v>206</v>
      </c>
    </row>
    <row r="918" spans="1:48" x14ac:dyDescent="0.3">
      <c r="A918" t="s">
        <v>250</v>
      </c>
      <c r="B918" t="s">
        <v>478</v>
      </c>
      <c r="D918" t="s">
        <v>1368</v>
      </c>
      <c r="F918" t="s">
        <v>1369</v>
      </c>
      <c r="I918" t="s">
        <v>1370</v>
      </c>
      <c r="K918" t="s">
        <v>1371</v>
      </c>
      <c r="O918" t="s">
        <v>52</v>
      </c>
      <c r="P918" t="s">
        <v>52</v>
      </c>
      <c r="Q918" t="s">
        <v>52</v>
      </c>
      <c r="R918" t="s">
        <v>1372</v>
      </c>
      <c r="S918" t="s">
        <v>1373</v>
      </c>
      <c r="T918" t="s">
        <v>1374</v>
      </c>
      <c r="X918" t="s">
        <v>1375</v>
      </c>
      <c r="AA918" t="s">
        <v>1376</v>
      </c>
      <c r="AG918" t="s">
        <v>449</v>
      </c>
      <c r="AL918" t="s">
        <v>1377</v>
      </c>
      <c r="AN918" t="s">
        <v>328</v>
      </c>
      <c r="AP918" t="s">
        <v>1378</v>
      </c>
      <c r="AU918" t="s">
        <v>71</v>
      </c>
      <c r="AV918" t="s">
        <v>121</v>
      </c>
    </row>
    <row r="919" spans="1:48" x14ac:dyDescent="0.3">
      <c r="A919" t="s">
        <v>262</v>
      </c>
      <c r="B919" t="s">
        <v>356</v>
      </c>
      <c r="D919" t="s">
        <v>674</v>
      </c>
      <c r="F919" t="s">
        <v>1379</v>
      </c>
      <c r="I919" t="s">
        <v>1380</v>
      </c>
      <c r="K919" t="s">
        <v>1381</v>
      </c>
      <c r="O919" t="s">
        <v>52</v>
      </c>
      <c r="P919" t="s">
        <v>52</v>
      </c>
      <c r="Q919" t="s">
        <v>52</v>
      </c>
      <c r="R919" t="s">
        <v>1382</v>
      </c>
      <c r="S919" t="s">
        <v>1383</v>
      </c>
      <c r="T919" t="s">
        <v>1384</v>
      </c>
      <c r="X919" t="s">
        <v>1385</v>
      </c>
      <c r="AA919" t="s">
        <v>1386</v>
      </c>
      <c r="AG919" t="s">
        <v>49</v>
      </c>
      <c r="AL919" t="s">
        <v>1387</v>
      </c>
      <c r="AN919" t="s">
        <v>473</v>
      </c>
      <c r="AP919" t="s">
        <v>1388</v>
      </c>
      <c r="AU919" t="s">
        <v>147</v>
      </c>
      <c r="AV919" t="s">
        <v>249</v>
      </c>
    </row>
    <row r="920" spans="1:48" x14ac:dyDescent="0.3">
      <c r="A920" t="s">
        <v>275</v>
      </c>
      <c r="B920" t="s">
        <v>391</v>
      </c>
      <c r="D920" t="s">
        <v>714</v>
      </c>
      <c r="F920" t="s">
        <v>1389</v>
      </c>
      <c r="O920" t="s">
        <v>52</v>
      </c>
      <c r="P920" t="s">
        <v>52</v>
      </c>
      <c r="Q920" t="s">
        <v>52</v>
      </c>
      <c r="R920" t="s">
        <v>1390</v>
      </c>
      <c r="S920" t="s">
        <v>1391</v>
      </c>
      <c r="T920" t="s">
        <v>1192</v>
      </c>
      <c r="X920" t="s">
        <v>53</v>
      </c>
      <c r="AA920" t="s">
        <v>53</v>
      </c>
      <c r="AG920" t="s">
        <v>449</v>
      </c>
      <c r="AL920" t="s">
        <v>1392</v>
      </c>
      <c r="AN920" t="s">
        <v>1393</v>
      </c>
      <c r="AP920" t="s">
        <v>1394</v>
      </c>
      <c r="AU920" t="s">
        <v>71</v>
      </c>
      <c r="AV920" t="s">
        <v>108</v>
      </c>
    </row>
    <row r="921" spans="1:48" x14ac:dyDescent="0.3">
      <c r="A921" t="s">
        <v>283</v>
      </c>
      <c r="B921" t="s">
        <v>374</v>
      </c>
      <c r="D921" t="s">
        <v>374</v>
      </c>
      <c r="F921" t="s">
        <v>1395</v>
      </c>
      <c r="O921" t="s">
        <v>52</v>
      </c>
      <c r="P921" t="s">
        <v>52</v>
      </c>
      <c r="Q921" t="s">
        <v>52</v>
      </c>
      <c r="R921" t="s">
        <v>1396</v>
      </c>
      <c r="S921" t="s">
        <v>1397</v>
      </c>
      <c r="V921" t="s">
        <v>1192</v>
      </c>
      <c r="Z921" t="s">
        <v>53</v>
      </c>
      <c r="AD921" t="s">
        <v>53</v>
      </c>
      <c r="AF921" t="s">
        <v>793</v>
      </c>
      <c r="AL921" t="s">
        <v>1398</v>
      </c>
      <c r="AN921" t="s">
        <v>1399</v>
      </c>
      <c r="AP921" t="s">
        <v>1399</v>
      </c>
      <c r="AU921" t="s">
        <v>133</v>
      </c>
      <c r="AV921" t="s">
        <v>158</v>
      </c>
    </row>
    <row r="922" spans="1:48" x14ac:dyDescent="0.3">
      <c r="A922" t="s">
        <v>291</v>
      </c>
      <c r="B922" t="s">
        <v>136</v>
      </c>
      <c r="D922" t="s">
        <v>147</v>
      </c>
      <c r="F922" t="s">
        <v>1400</v>
      </c>
      <c r="O922" t="s">
        <v>52</v>
      </c>
      <c r="P922" t="s">
        <v>52</v>
      </c>
      <c r="Q922" t="s">
        <v>52</v>
      </c>
      <c r="R922" t="s">
        <v>1268</v>
      </c>
      <c r="S922" t="s">
        <v>1401</v>
      </c>
      <c r="V922" t="s">
        <v>1192</v>
      </c>
      <c r="Z922" t="s">
        <v>53</v>
      </c>
      <c r="AD922" t="s">
        <v>53</v>
      </c>
      <c r="AF922" t="s">
        <v>331</v>
      </c>
      <c r="AL922" t="s">
        <v>1402</v>
      </c>
      <c r="AN922" t="s">
        <v>457</v>
      </c>
      <c r="AP922" t="s">
        <v>1403</v>
      </c>
      <c r="AU922" t="s">
        <v>108</v>
      </c>
      <c r="AV922" t="s">
        <v>439</v>
      </c>
    </row>
    <row r="923" spans="1:48" x14ac:dyDescent="0.3">
      <c r="A923" t="s">
        <v>296</v>
      </c>
      <c r="B923" t="s">
        <v>110</v>
      </c>
      <c r="D923" t="s">
        <v>97</v>
      </c>
      <c r="F923" t="s">
        <v>1404</v>
      </c>
      <c r="O923" t="s">
        <v>52</v>
      </c>
      <c r="P923" t="s">
        <v>52</v>
      </c>
      <c r="Q923" t="s">
        <v>52</v>
      </c>
      <c r="R923" t="s">
        <v>1405</v>
      </c>
      <c r="S923" t="s">
        <v>1406</v>
      </c>
      <c r="V923" t="s">
        <v>1192</v>
      </c>
      <c r="Z923" t="s">
        <v>53</v>
      </c>
      <c r="AD923" t="s">
        <v>53</v>
      </c>
      <c r="AF923" t="s">
        <v>301</v>
      </c>
      <c r="AL923" t="s">
        <v>522</v>
      </c>
      <c r="AN923" t="s">
        <v>714</v>
      </c>
      <c r="AP923" t="s">
        <v>777</v>
      </c>
      <c r="AU923" t="s">
        <v>274</v>
      </c>
      <c r="AV923" t="s">
        <v>263</v>
      </c>
    </row>
    <row r="924" spans="1:48" x14ac:dyDescent="0.3">
      <c r="A924" t="s">
        <v>303</v>
      </c>
      <c r="B924" t="s">
        <v>1234</v>
      </c>
      <c r="D924" t="s">
        <v>1234</v>
      </c>
      <c r="F924" t="s">
        <v>1234</v>
      </c>
      <c r="O924" t="s">
        <v>1234</v>
      </c>
      <c r="P924" t="s">
        <v>1234</v>
      </c>
      <c r="Q924" t="s">
        <v>1234</v>
      </c>
      <c r="R924" t="s">
        <v>1234</v>
      </c>
      <c r="S924" t="s">
        <v>1234</v>
      </c>
      <c r="V924" t="s">
        <v>1234</v>
      </c>
      <c r="Z924" t="s">
        <v>1234</v>
      </c>
      <c r="AD924" t="s">
        <v>1234</v>
      </c>
      <c r="AF924" t="s">
        <v>1234</v>
      </c>
      <c r="AL924" t="s">
        <v>1234</v>
      </c>
      <c r="AN924" t="s">
        <v>1234</v>
      </c>
      <c r="AP924" t="s">
        <v>1234</v>
      </c>
      <c r="AU924" t="s">
        <v>1234</v>
      </c>
      <c r="AV924" t="s">
        <v>1234</v>
      </c>
    </row>
    <row r="925" spans="1:48" x14ac:dyDescent="0.3">
      <c r="A925" t="s">
        <v>310</v>
      </c>
      <c r="B925" t="s">
        <v>79</v>
      </c>
      <c r="D925" t="s">
        <v>107</v>
      </c>
      <c r="F925" t="s">
        <v>1407</v>
      </c>
      <c r="O925" t="s">
        <v>52</v>
      </c>
      <c r="P925" t="s">
        <v>52</v>
      </c>
      <c r="Q925" t="s">
        <v>52</v>
      </c>
      <c r="R925" t="s">
        <v>1408</v>
      </c>
      <c r="S925" t="s">
        <v>1409</v>
      </c>
      <c r="V925" t="s">
        <v>1410</v>
      </c>
      <c r="Z925" t="s">
        <v>1411</v>
      </c>
      <c r="AD925" t="s">
        <v>1412</v>
      </c>
      <c r="AF925" t="s">
        <v>123</v>
      </c>
      <c r="AL925" t="s">
        <v>1413</v>
      </c>
      <c r="AN925" t="s">
        <v>1414</v>
      </c>
      <c r="AP925" t="s">
        <v>1259</v>
      </c>
      <c r="AU925" t="s">
        <v>117</v>
      </c>
      <c r="AV925" t="s">
        <v>263</v>
      </c>
    </row>
    <row r="926" spans="1:48" x14ac:dyDescent="0.3">
      <c r="A926" t="s">
        <v>320</v>
      </c>
      <c r="B926" t="s">
        <v>206</v>
      </c>
      <c r="D926" t="s">
        <v>453</v>
      </c>
      <c r="F926" t="s">
        <v>1415</v>
      </c>
      <c r="O926" t="s">
        <v>52</v>
      </c>
      <c r="P926" t="s">
        <v>52</v>
      </c>
      <c r="Q926" t="s">
        <v>52</v>
      </c>
      <c r="R926" t="s">
        <v>1416</v>
      </c>
      <c r="S926" t="s">
        <v>1417</v>
      </c>
      <c r="T926" t="s">
        <v>1418</v>
      </c>
      <c r="X926" t="s">
        <v>1419</v>
      </c>
      <c r="AA926" t="s">
        <v>1420</v>
      </c>
      <c r="AG926" t="s">
        <v>73</v>
      </c>
      <c r="AL926" t="s">
        <v>1421</v>
      </c>
      <c r="AN926" t="s">
        <v>1422</v>
      </c>
      <c r="AP926" t="s">
        <v>1423</v>
      </c>
      <c r="AU926" t="s">
        <v>71</v>
      </c>
      <c r="AV926" t="s">
        <v>206</v>
      </c>
    </row>
    <row r="927" spans="1:48" x14ac:dyDescent="0.3">
      <c r="A927" t="s">
        <v>330</v>
      </c>
      <c r="B927" t="s">
        <v>321</v>
      </c>
      <c r="D927" t="s">
        <v>1424</v>
      </c>
      <c r="F927" t="s">
        <v>1425</v>
      </c>
      <c r="I927" t="s">
        <v>1426</v>
      </c>
      <c r="K927" t="s">
        <v>1427</v>
      </c>
      <c r="O927" t="s">
        <v>52</v>
      </c>
      <c r="P927" t="s">
        <v>52</v>
      </c>
      <c r="Q927" t="s">
        <v>52</v>
      </c>
      <c r="R927" t="s">
        <v>1428</v>
      </c>
      <c r="S927" t="s">
        <v>1406</v>
      </c>
      <c r="T927" t="s">
        <v>429</v>
      </c>
      <c r="X927" t="s">
        <v>1429</v>
      </c>
      <c r="AA927" t="s">
        <v>1429</v>
      </c>
      <c r="AG927" t="s">
        <v>554</v>
      </c>
      <c r="AL927" t="s">
        <v>1430</v>
      </c>
      <c r="AN927" t="s">
        <v>1431</v>
      </c>
      <c r="AP927" t="s">
        <v>1432</v>
      </c>
      <c r="AU927" t="s">
        <v>133</v>
      </c>
      <c r="AV927" t="s">
        <v>388</v>
      </c>
    </row>
    <row r="928" spans="1:48" x14ac:dyDescent="0.3">
      <c r="A928" t="s">
        <v>341</v>
      </c>
      <c r="B928" t="s">
        <v>136</v>
      </c>
      <c r="D928" t="s">
        <v>172</v>
      </c>
      <c r="F928" t="s">
        <v>1433</v>
      </c>
      <c r="I928" t="s">
        <v>457</v>
      </c>
      <c r="K928" t="s">
        <v>579</v>
      </c>
      <c r="O928" t="s">
        <v>1434</v>
      </c>
      <c r="P928" t="s">
        <v>1435</v>
      </c>
      <c r="Q928" t="s">
        <v>1435</v>
      </c>
      <c r="R928" t="s">
        <v>1436</v>
      </c>
      <c r="S928" t="s">
        <v>1437</v>
      </c>
      <c r="T928" t="s">
        <v>1192</v>
      </c>
      <c r="X928" t="s">
        <v>53</v>
      </c>
      <c r="AA928" t="s">
        <v>53</v>
      </c>
      <c r="AG928" t="s">
        <v>449</v>
      </c>
      <c r="AL928" t="s">
        <v>1438</v>
      </c>
      <c r="AN928" t="s">
        <v>198</v>
      </c>
      <c r="AP928" t="s">
        <v>1432</v>
      </c>
      <c r="AU928" t="s">
        <v>134</v>
      </c>
      <c r="AV928" t="s">
        <v>206</v>
      </c>
    </row>
    <row r="929" spans="1:48" x14ac:dyDescent="0.3">
      <c r="A929" t="s">
        <v>349</v>
      </c>
      <c r="B929" t="s">
        <v>70</v>
      </c>
      <c r="D929" t="s">
        <v>158</v>
      </c>
      <c r="F929" t="s">
        <v>1439</v>
      </c>
      <c r="I929" t="s">
        <v>955</v>
      </c>
      <c r="K929" t="s">
        <v>144</v>
      </c>
      <c r="O929" t="s">
        <v>52</v>
      </c>
      <c r="P929" t="s">
        <v>52</v>
      </c>
      <c r="Q929" t="s">
        <v>52</v>
      </c>
      <c r="R929" t="s">
        <v>1440</v>
      </c>
      <c r="S929" t="s">
        <v>1441</v>
      </c>
      <c r="T929" t="s">
        <v>524</v>
      </c>
      <c r="X929" t="s">
        <v>1442</v>
      </c>
      <c r="AA929" t="s">
        <v>1443</v>
      </c>
      <c r="AG929" t="s">
        <v>96</v>
      </c>
      <c r="AL929" t="s">
        <v>1444</v>
      </c>
      <c r="AN929" t="s">
        <v>1445</v>
      </c>
      <c r="AP929" t="s">
        <v>1446</v>
      </c>
      <c r="AU929" t="s">
        <v>108</v>
      </c>
      <c r="AV929" t="s">
        <v>301</v>
      </c>
    </row>
    <row r="930" spans="1:48" x14ac:dyDescent="0.3">
      <c r="A930" t="s">
        <v>359</v>
      </c>
      <c r="B930" t="s">
        <v>228</v>
      </c>
      <c r="D930" t="s">
        <v>107</v>
      </c>
      <c r="F930" t="s">
        <v>1447</v>
      </c>
      <c r="I930" t="s">
        <v>630</v>
      </c>
      <c r="K930" t="s">
        <v>866</v>
      </c>
      <c r="O930" t="s">
        <v>52</v>
      </c>
      <c r="P930" t="s">
        <v>52</v>
      </c>
      <c r="Q930" t="s">
        <v>52</v>
      </c>
      <c r="R930" t="s">
        <v>1448</v>
      </c>
      <c r="S930" t="s">
        <v>1449</v>
      </c>
      <c r="T930" t="s">
        <v>777</v>
      </c>
      <c r="X930" t="s">
        <v>1450</v>
      </c>
      <c r="AA930" t="s">
        <v>1451</v>
      </c>
      <c r="AG930" t="s">
        <v>707</v>
      </c>
      <c r="AL930" t="s">
        <v>1452</v>
      </c>
      <c r="AN930" t="s">
        <v>1453</v>
      </c>
      <c r="AP930" t="s">
        <v>1125</v>
      </c>
      <c r="AU930" t="s">
        <v>108</v>
      </c>
      <c r="AV930" t="s">
        <v>388</v>
      </c>
    </row>
    <row r="931" spans="1:48" x14ac:dyDescent="0.3">
      <c r="A931" t="s">
        <v>366</v>
      </c>
      <c r="B931" t="s">
        <v>570</v>
      </c>
      <c r="D931" t="s">
        <v>70</v>
      </c>
      <c r="F931" t="s">
        <v>1454</v>
      </c>
      <c r="I931" t="s">
        <v>630</v>
      </c>
      <c r="K931" t="s">
        <v>50</v>
      </c>
      <c r="O931" t="s">
        <v>52</v>
      </c>
      <c r="P931" t="s">
        <v>52</v>
      </c>
      <c r="Q931" t="s">
        <v>52</v>
      </c>
      <c r="R931" t="s">
        <v>1455</v>
      </c>
      <c r="S931" t="s">
        <v>1456</v>
      </c>
      <c r="T931" t="s">
        <v>1457</v>
      </c>
      <c r="X931" t="s">
        <v>1458</v>
      </c>
      <c r="AA931" t="s">
        <v>1459</v>
      </c>
      <c r="AG931" t="s">
        <v>793</v>
      </c>
      <c r="AL931" t="s">
        <v>1460</v>
      </c>
      <c r="AN931" t="s">
        <v>1461</v>
      </c>
      <c r="AP931" t="s">
        <v>1462</v>
      </c>
      <c r="AU931" t="s">
        <v>121</v>
      </c>
      <c r="AV931" t="s">
        <v>206</v>
      </c>
    </row>
    <row r="932" spans="1:48" x14ac:dyDescent="0.3">
      <c r="A932" t="s">
        <v>376</v>
      </c>
      <c r="B932" t="s">
        <v>298</v>
      </c>
      <c r="D932" t="s">
        <v>460</v>
      </c>
      <c r="F932" t="s">
        <v>1463</v>
      </c>
      <c r="O932" t="s">
        <v>52</v>
      </c>
      <c r="P932" t="s">
        <v>52</v>
      </c>
      <c r="Q932" t="s">
        <v>52</v>
      </c>
      <c r="R932" t="s">
        <v>1464</v>
      </c>
      <c r="S932" t="s">
        <v>1465</v>
      </c>
      <c r="T932" t="s">
        <v>1466</v>
      </c>
      <c r="X932" t="s">
        <v>1467</v>
      </c>
      <c r="AA932" t="s">
        <v>1223</v>
      </c>
      <c r="AG932" t="s">
        <v>263</v>
      </c>
      <c r="AL932" t="s">
        <v>1468</v>
      </c>
      <c r="AN932" t="s">
        <v>1469</v>
      </c>
      <c r="AP932" t="s">
        <v>1470</v>
      </c>
      <c r="AU932" t="s">
        <v>117</v>
      </c>
      <c r="AV932" t="s">
        <v>206</v>
      </c>
    </row>
    <row r="933" spans="1:48" x14ac:dyDescent="0.3">
      <c r="A933" t="s">
        <v>385</v>
      </c>
      <c r="B933" t="s">
        <v>511</v>
      </c>
      <c r="D933" t="s">
        <v>84</v>
      </c>
      <c r="F933" t="s">
        <v>1471</v>
      </c>
      <c r="O933" t="s">
        <v>52</v>
      </c>
      <c r="P933" t="s">
        <v>52</v>
      </c>
      <c r="Q933" t="s">
        <v>52</v>
      </c>
      <c r="R933" t="s">
        <v>1472</v>
      </c>
      <c r="S933" t="s">
        <v>1473</v>
      </c>
      <c r="V933" t="s">
        <v>1474</v>
      </c>
      <c r="Z933" t="s">
        <v>1475</v>
      </c>
      <c r="AD933" t="s">
        <v>1476</v>
      </c>
      <c r="AF933" t="s">
        <v>245</v>
      </c>
      <c r="AL933" t="s">
        <v>1477</v>
      </c>
      <c r="AN933" t="s">
        <v>871</v>
      </c>
      <c r="AP933" t="s">
        <v>1478</v>
      </c>
      <c r="AU933" t="s">
        <v>108</v>
      </c>
      <c r="AV933" t="s">
        <v>117</v>
      </c>
    </row>
    <row r="934" spans="1:48" x14ac:dyDescent="0.3">
      <c r="A934" t="s">
        <v>394</v>
      </c>
      <c r="B934" t="s">
        <v>661</v>
      </c>
      <c r="D934" t="s">
        <v>566</v>
      </c>
      <c r="F934" t="s">
        <v>1479</v>
      </c>
      <c r="O934" t="s">
        <v>52</v>
      </c>
      <c r="P934" t="s">
        <v>52</v>
      </c>
      <c r="Q934" t="s">
        <v>52</v>
      </c>
      <c r="R934" t="s">
        <v>1480</v>
      </c>
      <c r="S934" t="s">
        <v>313</v>
      </c>
      <c r="V934" t="s">
        <v>432</v>
      </c>
      <c r="Z934" t="s">
        <v>1481</v>
      </c>
      <c r="AD934" t="s">
        <v>1482</v>
      </c>
      <c r="AF934" t="s">
        <v>478</v>
      </c>
      <c r="AL934" t="s">
        <v>1483</v>
      </c>
      <c r="AN934" t="s">
        <v>1484</v>
      </c>
      <c r="AP934" t="s">
        <v>1132</v>
      </c>
      <c r="AU934" t="s">
        <v>274</v>
      </c>
      <c r="AV934" t="s">
        <v>439</v>
      </c>
    </row>
    <row r="935" spans="1:48" x14ac:dyDescent="0.3">
      <c r="A935" t="s">
        <v>402</v>
      </c>
      <c r="B935" t="s">
        <v>553</v>
      </c>
      <c r="D935" t="s">
        <v>368</v>
      </c>
      <c r="F935" t="s">
        <v>1485</v>
      </c>
      <c r="O935" t="s">
        <v>52</v>
      </c>
      <c r="P935" t="s">
        <v>52</v>
      </c>
      <c r="Q935" t="s">
        <v>52</v>
      </c>
      <c r="R935" t="s">
        <v>1486</v>
      </c>
      <c r="S935" t="s">
        <v>1487</v>
      </c>
      <c r="V935" t="s">
        <v>94</v>
      </c>
      <c r="Z935" t="s">
        <v>1488</v>
      </c>
      <c r="AD935" t="s">
        <v>1223</v>
      </c>
      <c r="AF935" t="s">
        <v>462</v>
      </c>
      <c r="AL935" t="s">
        <v>1489</v>
      </c>
      <c r="AN935" t="s">
        <v>486</v>
      </c>
      <c r="AP935" t="s">
        <v>357</v>
      </c>
      <c r="AR935" t="s">
        <v>488</v>
      </c>
      <c r="AS935" t="s">
        <v>730</v>
      </c>
      <c r="AT935" t="s">
        <v>730</v>
      </c>
      <c r="AU935" t="s">
        <v>274</v>
      </c>
      <c r="AV935" t="s">
        <v>439</v>
      </c>
    </row>
    <row r="936" spans="1:48" x14ac:dyDescent="0.3">
      <c r="A936" t="s">
        <v>411</v>
      </c>
      <c r="B936" t="s">
        <v>1234</v>
      </c>
      <c r="D936" t="s">
        <v>1234</v>
      </c>
      <c r="F936" t="s">
        <v>1234</v>
      </c>
      <c r="O936" t="s">
        <v>1234</v>
      </c>
      <c r="P936" t="s">
        <v>1234</v>
      </c>
      <c r="Q936" t="s">
        <v>1234</v>
      </c>
      <c r="R936" t="s">
        <v>1234</v>
      </c>
      <c r="S936" t="s">
        <v>1234</v>
      </c>
      <c r="V936" t="s">
        <v>1234</v>
      </c>
      <c r="Z936" t="s">
        <v>1234</v>
      </c>
      <c r="AD936" t="s">
        <v>1234</v>
      </c>
      <c r="AF936" t="s">
        <v>1234</v>
      </c>
      <c r="AL936" t="s">
        <v>1234</v>
      </c>
      <c r="AN936" t="s">
        <v>1234</v>
      </c>
      <c r="AP936" t="s">
        <v>1234</v>
      </c>
      <c r="AR936" t="s">
        <v>1234</v>
      </c>
      <c r="AS936" t="s">
        <v>1234</v>
      </c>
      <c r="AT936" t="s">
        <v>1234</v>
      </c>
      <c r="AU936" t="s">
        <v>1234</v>
      </c>
      <c r="AV936" t="s">
        <v>1234</v>
      </c>
    </row>
    <row r="937" spans="1:48" x14ac:dyDescent="0.3">
      <c r="A937" t="s">
        <v>420</v>
      </c>
      <c r="B937" t="s">
        <v>59</v>
      </c>
      <c r="D937" t="s">
        <v>71</v>
      </c>
      <c r="F937" t="s">
        <v>1490</v>
      </c>
      <c r="O937" t="s">
        <v>52</v>
      </c>
      <c r="P937" t="s">
        <v>52</v>
      </c>
      <c r="Q937" t="s">
        <v>52</v>
      </c>
      <c r="R937" t="s">
        <v>1491</v>
      </c>
      <c r="S937" t="s">
        <v>1492</v>
      </c>
      <c r="V937" t="s">
        <v>160</v>
      </c>
      <c r="Z937" t="s">
        <v>993</v>
      </c>
      <c r="AD937" t="s">
        <v>1493</v>
      </c>
      <c r="AF937" t="s">
        <v>308</v>
      </c>
      <c r="AL937" t="s">
        <v>1494</v>
      </c>
      <c r="AN937" t="s">
        <v>1495</v>
      </c>
      <c r="AP937" t="s">
        <v>1496</v>
      </c>
      <c r="AR937" t="s">
        <v>52</v>
      </c>
      <c r="AS937" t="s">
        <v>52</v>
      </c>
      <c r="AT937" t="s">
        <v>52</v>
      </c>
      <c r="AU937" t="s">
        <v>228</v>
      </c>
      <c r="AV937" t="s">
        <v>263</v>
      </c>
    </row>
    <row r="938" spans="1:48" x14ac:dyDescent="0.3">
      <c r="A938" t="s">
        <v>427</v>
      </c>
      <c r="B938" t="s">
        <v>79</v>
      </c>
      <c r="D938" t="s">
        <v>228</v>
      </c>
      <c r="F938" t="s">
        <v>1497</v>
      </c>
      <c r="O938" t="s">
        <v>52</v>
      </c>
      <c r="P938" t="s">
        <v>52</v>
      </c>
      <c r="Q938" t="s">
        <v>52</v>
      </c>
      <c r="R938" t="s">
        <v>1498</v>
      </c>
      <c r="S938" t="s">
        <v>1499</v>
      </c>
      <c r="T938" t="s">
        <v>1148</v>
      </c>
      <c r="X938" t="s">
        <v>1500</v>
      </c>
      <c r="AA938" t="s">
        <v>1501</v>
      </c>
      <c r="AG938" t="s">
        <v>79</v>
      </c>
      <c r="AL938" t="s">
        <v>1502</v>
      </c>
      <c r="AN938" t="s">
        <v>1291</v>
      </c>
      <c r="AP938" t="s">
        <v>68</v>
      </c>
      <c r="AR938" t="s">
        <v>52</v>
      </c>
      <c r="AS938" t="s">
        <v>52</v>
      </c>
      <c r="AT938" t="s">
        <v>52</v>
      </c>
      <c r="AU938" t="s">
        <v>94</v>
      </c>
      <c r="AV938" t="s">
        <v>391</v>
      </c>
    </row>
    <row r="939" spans="1:48" x14ac:dyDescent="0.3">
      <c r="A939" t="s">
        <v>436</v>
      </c>
      <c r="B939" t="s">
        <v>59</v>
      </c>
      <c r="D939" t="s">
        <v>439</v>
      </c>
      <c r="F939" t="s">
        <v>1503</v>
      </c>
      <c r="I939" t="s">
        <v>410</v>
      </c>
      <c r="K939" t="s">
        <v>1504</v>
      </c>
      <c r="O939" t="s">
        <v>52</v>
      </c>
      <c r="P939" t="s">
        <v>52</v>
      </c>
      <c r="Q939" t="s">
        <v>52</v>
      </c>
      <c r="R939" t="s">
        <v>1505</v>
      </c>
      <c r="S939" t="s">
        <v>1506</v>
      </c>
      <c r="T939" t="s">
        <v>49</v>
      </c>
      <c r="X939" t="s">
        <v>837</v>
      </c>
      <c r="AA939" t="s">
        <v>1507</v>
      </c>
      <c r="AG939" t="s">
        <v>108</v>
      </c>
      <c r="AL939" t="s">
        <v>1508</v>
      </c>
      <c r="AN939" t="s">
        <v>1509</v>
      </c>
      <c r="AP939" t="s">
        <v>1510</v>
      </c>
      <c r="AR939" t="s">
        <v>52</v>
      </c>
      <c r="AS939" t="s">
        <v>52</v>
      </c>
      <c r="AT939" t="s">
        <v>52</v>
      </c>
      <c r="AU939" t="s">
        <v>108</v>
      </c>
      <c r="AV939" t="s">
        <v>206</v>
      </c>
    </row>
    <row r="940" spans="1:48" x14ac:dyDescent="0.3">
      <c r="A940" t="s">
        <v>442</v>
      </c>
      <c r="B940" t="s">
        <v>52</v>
      </c>
      <c r="D940" t="s">
        <v>52</v>
      </c>
      <c r="F940" t="s">
        <v>1511</v>
      </c>
      <c r="I940" t="s">
        <v>1348</v>
      </c>
      <c r="K940" t="s">
        <v>1512</v>
      </c>
      <c r="O940" t="s">
        <v>52</v>
      </c>
      <c r="P940" t="s">
        <v>52</v>
      </c>
      <c r="Q940" t="s">
        <v>52</v>
      </c>
      <c r="R940" t="s">
        <v>1513</v>
      </c>
      <c r="S940" t="s">
        <v>1514</v>
      </c>
      <c r="T940" t="s">
        <v>879</v>
      </c>
      <c r="X940" t="s">
        <v>1515</v>
      </c>
      <c r="AA940" t="s">
        <v>1516</v>
      </c>
      <c r="AG940" t="s">
        <v>724</v>
      </c>
      <c r="AL940" t="s">
        <v>1517</v>
      </c>
      <c r="AN940" t="s">
        <v>1313</v>
      </c>
      <c r="AP940" t="s">
        <v>1346</v>
      </c>
      <c r="AR940" t="s">
        <v>52</v>
      </c>
      <c r="AS940" t="s">
        <v>52</v>
      </c>
      <c r="AT940" t="s">
        <v>52</v>
      </c>
      <c r="AU940" t="s">
        <v>117</v>
      </c>
      <c r="AV940" t="s">
        <v>374</v>
      </c>
    </row>
    <row r="941" spans="1:48" x14ac:dyDescent="0.3">
      <c r="A941" t="s">
        <v>448</v>
      </c>
      <c r="B941" t="s">
        <v>49</v>
      </c>
      <c r="D941" t="s">
        <v>298</v>
      </c>
      <c r="F941" t="s">
        <v>1518</v>
      </c>
      <c r="I941" t="s">
        <v>307</v>
      </c>
      <c r="K941" t="s">
        <v>473</v>
      </c>
      <c r="O941" t="s">
        <v>52</v>
      </c>
      <c r="P941" t="s">
        <v>52</v>
      </c>
      <c r="Q941" t="s">
        <v>52</v>
      </c>
      <c r="R941" t="s">
        <v>1519</v>
      </c>
      <c r="S941" t="s">
        <v>1520</v>
      </c>
      <c r="T941" t="s">
        <v>1521</v>
      </c>
      <c r="X941" t="s">
        <v>1522</v>
      </c>
      <c r="AA941" t="s">
        <v>1523</v>
      </c>
      <c r="AG941" t="s">
        <v>110</v>
      </c>
      <c r="AL941" t="s">
        <v>1524</v>
      </c>
      <c r="AN941" t="s">
        <v>1525</v>
      </c>
      <c r="AP941" t="s">
        <v>1462</v>
      </c>
      <c r="AR941" t="s">
        <v>52</v>
      </c>
      <c r="AS941" t="s">
        <v>52</v>
      </c>
      <c r="AT941" t="s">
        <v>52</v>
      </c>
      <c r="AU941" t="s">
        <v>249</v>
      </c>
      <c r="AV941" t="s">
        <v>439</v>
      </c>
    </row>
    <row r="942" spans="1:48" x14ac:dyDescent="0.3">
      <c r="A942" t="s">
        <v>455</v>
      </c>
      <c r="B942" t="s">
        <v>284</v>
      </c>
      <c r="D942" t="s">
        <v>136</v>
      </c>
      <c r="F942" t="s">
        <v>1526</v>
      </c>
      <c r="I942" t="s">
        <v>307</v>
      </c>
      <c r="K942" t="s">
        <v>1527</v>
      </c>
      <c r="O942" t="s">
        <v>52</v>
      </c>
      <c r="P942" t="s">
        <v>52</v>
      </c>
      <c r="Q942" t="s">
        <v>52</v>
      </c>
      <c r="R942" t="s">
        <v>1528</v>
      </c>
      <c r="S942" t="s">
        <v>1529</v>
      </c>
      <c r="T942" t="s">
        <v>108</v>
      </c>
      <c r="X942" t="s">
        <v>1530</v>
      </c>
      <c r="AA942" t="s">
        <v>1531</v>
      </c>
      <c r="AG942" t="s">
        <v>70</v>
      </c>
      <c r="AL942" t="s">
        <v>1532</v>
      </c>
      <c r="AN942" t="s">
        <v>1328</v>
      </c>
      <c r="AP942" t="s">
        <v>1533</v>
      </c>
      <c r="AR942" t="s">
        <v>52</v>
      </c>
      <c r="AS942" t="s">
        <v>52</v>
      </c>
      <c r="AT942" t="s">
        <v>52</v>
      </c>
      <c r="AU942" t="s">
        <v>263</v>
      </c>
      <c r="AV942" t="s">
        <v>391</v>
      </c>
    </row>
    <row r="943" spans="1:48" x14ac:dyDescent="0.3">
      <c r="A943" t="s">
        <v>464</v>
      </c>
      <c r="B943" t="s">
        <v>167</v>
      </c>
      <c r="D943" t="s">
        <v>284</v>
      </c>
      <c r="F943" t="s">
        <v>1534</v>
      </c>
      <c r="I943" t="s">
        <v>206</v>
      </c>
      <c r="K943" t="s">
        <v>955</v>
      </c>
      <c r="O943" t="s">
        <v>52</v>
      </c>
      <c r="P943" t="s">
        <v>52</v>
      </c>
      <c r="Q943" t="s">
        <v>52</v>
      </c>
      <c r="R943" t="s">
        <v>1535</v>
      </c>
      <c r="S943" t="s">
        <v>1536</v>
      </c>
      <c r="T943" t="s">
        <v>71</v>
      </c>
      <c r="X943" t="s">
        <v>1537</v>
      </c>
      <c r="AA943" t="s">
        <v>1538</v>
      </c>
      <c r="AG943" t="s">
        <v>79</v>
      </c>
      <c r="AL943" t="s">
        <v>1539</v>
      </c>
      <c r="AN943" t="s">
        <v>804</v>
      </c>
      <c r="AP943" t="s">
        <v>795</v>
      </c>
      <c r="AR943" t="s">
        <v>52</v>
      </c>
      <c r="AS943" t="s">
        <v>52</v>
      </c>
      <c r="AT943" t="s">
        <v>52</v>
      </c>
      <c r="AU943" t="s">
        <v>108</v>
      </c>
      <c r="AV943" t="s">
        <v>206</v>
      </c>
    </row>
    <row r="944" spans="1:48" x14ac:dyDescent="0.3">
      <c r="A944" t="s">
        <v>469</v>
      </c>
      <c r="B944" t="s">
        <v>50</v>
      </c>
      <c r="D944" t="s">
        <v>167</v>
      </c>
      <c r="F944" t="s">
        <v>1540</v>
      </c>
      <c r="O944" t="s">
        <v>52</v>
      </c>
      <c r="P944" t="s">
        <v>52</v>
      </c>
      <c r="Q944" t="s">
        <v>52</v>
      </c>
      <c r="R944" t="s">
        <v>1541</v>
      </c>
      <c r="S944" t="s">
        <v>1542</v>
      </c>
      <c r="T944" t="s">
        <v>123</v>
      </c>
      <c r="X944" t="s">
        <v>1543</v>
      </c>
      <c r="AA944" t="s">
        <v>1544</v>
      </c>
      <c r="AG944" t="s">
        <v>245</v>
      </c>
      <c r="AL944" t="s">
        <v>1545</v>
      </c>
      <c r="AN944" t="s">
        <v>260</v>
      </c>
      <c r="AP944" t="s">
        <v>1546</v>
      </c>
      <c r="AR944" t="s">
        <v>52</v>
      </c>
      <c r="AS944" t="s">
        <v>52</v>
      </c>
      <c r="AT944" t="s">
        <v>52</v>
      </c>
      <c r="AU944" t="s">
        <v>70</v>
      </c>
      <c r="AV944" t="s">
        <v>439</v>
      </c>
    </row>
    <row r="945" spans="1:48" x14ac:dyDescent="0.3">
      <c r="A945" t="s">
        <v>474</v>
      </c>
      <c r="B945" t="s">
        <v>930</v>
      </c>
      <c r="D945" t="s">
        <v>403</v>
      </c>
      <c r="F945" t="s">
        <v>1547</v>
      </c>
      <c r="O945" t="s">
        <v>52</v>
      </c>
      <c r="P945" t="s">
        <v>52</v>
      </c>
      <c r="Q945" t="s">
        <v>52</v>
      </c>
      <c r="R945" t="s">
        <v>1548</v>
      </c>
      <c r="S945" t="s">
        <v>1549</v>
      </c>
      <c r="V945" t="s">
        <v>756</v>
      </c>
      <c r="Z945" t="s">
        <v>1550</v>
      </c>
      <c r="AD945" t="s">
        <v>850</v>
      </c>
      <c r="AF945" t="s">
        <v>724</v>
      </c>
      <c r="AL945" t="s">
        <v>1551</v>
      </c>
      <c r="AN945" t="s">
        <v>1552</v>
      </c>
      <c r="AP945" t="s">
        <v>1553</v>
      </c>
      <c r="AR945" t="s">
        <v>52</v>
      </c>
      <c r="AS945" t="s">
        <v>52</v>
      </c>
      <c r="AT945" t="s">
        <v>52</v>
      </c>
      <c r="AU945" t="s">
        <v>228</v>
      </c>
      <c r="AV945" t="s">
        <v>263</v>
      </c>
    </row>
    <row r="946" spans="1:48" x14ac:dyDescent="0.3">
      <c r="A946" t="s">
        <v>480</v>
      </c>
      <c r="B946" t="s">
        <v>1554</v>
      </c>
      <c r="D946" t="s">
        <v>96</v>
      </c>
      <c r="F946" t="s">
        <v>1555</v>
      </c>
      <c r="O946" t="s">
        <v>52</v>
      </c>
      <c r="P946" t="s">
        <v>52</v>
      </c>
      <c r="Q946" t="s">
        <v>52</v>
      </c>
      <c r="R946" t="s">
        <v>1556</v>
      </c>
      <c r="S946" t="s">
        <v>1557</v>
      </c>
      <c r="V946" t="s">
        <v>1016</v>
      </c>
      <c r="Z946" t="s">
        <v>1558</v>
      </c>
      <c r="AD946" t="s">
        <v>1559</v>
      </c>
      <c r="AF946" t="s">
        <v>167</v>
      </c>
      <c r="AL946" t="s">
        <v>1560</v>
      </c>
      <c r="AN946" t="s">
        <v>338</v>
      </c>
      <c r="AP946" t="s">
        <v>493</v>
      </c>
      <c r="AR946" t="s">
        <v>52</v>
      </c>
      <c r="AS946" t="s">
        <v>52</v>
      </c>
      <c r="AT946" t="s">
        <v>52</v>
      </c>
      <c r="AU946" t="s">
        <v>249</v>
      </c>
      <c r="AV946" t="s">
        <v>263</v>
      </c>
    </row>
    <row r="947" spans="1:48" x14ac:dyDescent="0.3">
      <c r="A947" t="s">
        <v>490</v>
      </c>
      <c r="B947" t="s">
        <v>566</v>
      </c>
      <c r="D947" t="s">
        <v>49</v>
      </c>
      <c r="F947" t="s">
        <v>1561</v>
      </c>
      <c r="O947" t="s">
        <v>52</v>
      </c>
      <c r="P947" t="s">
        <v>52</v>
      </c>
      <c r="Q947" t="s">
        <v>52</v>
      </c>
      <c r="R947" t="s">
        <v>1562</v>
      </c>
      <c r="S947" t="s">
        <v>1563</v>
      </c>
      <c r="V947" t="s">
        <v>74</v>
      </c>
      <c r="Z947" t="s">
        <v>862</v>
      </c>
      <c r="AD947" t="s">
        <v>1564</v>
      </c>
      <c r="AF947" t="s">
        <v>707</v>
      </c>
      <c r="AL947" t="s">
        <v>1565</v>
      </c>
      <c r="AN947" t="s">
        <v>745</v>
      </c>
      <c r="AP947" t="s">
        <v>164</v>
      </c>
      <c r="AU947" t="s">
        <v>133</v>
      </c>
      <c r="AV947" t="s">
        <v>66</v>
      </c>
    </row>
    <row r="948" spans="1:48" x14ac:dyDescent="0.3">
      <c r="A948" t="s">
        <v>495</v>
      </c>
      <c r="B948" t="s">
        <v>1566</v>
      </c>
      <c r="D948" t="s">
        <v>386</v>
      </c>
      <c r="F948" t="s">
        <v>1567</v>
      </c>
      <c r="O948" t="s">
        <v>52</v>
      </c>
      <c r="P948" t="s">
        <v>52</v>
      </c>
      <c r="Q948" t="s">
        <v>52</v>
      </c>
      <c r="R948" t="s">
        <v>1568</v>
      </c>
      <c r="S948" t="s">
        <v>1569</v>
      </c>
      <c r="V948" t="s">
        <v>400</v>
      </c>
      <c r="Z948" t="s">
        <v>1570</v>
      </c>
      <c r="AD948" t="s">
        <v>1571</v>
      </c>
      <c r="AF948" t="s">
        <v>388</v>
      </c>
      <c r="AL948" t="s">
        <v>1572</v>
      </c>
      <c r="AN948" t="s">
        <v>879</v>
      </c>
      <c r="AP948" t="s">
        <v>417</v>
      </c>
      <c r="AU948" t="s">
        <v>70</v>
      </c>
      <c r="AV948" t="s">
        <v>66</v>
      </c>
    </row>
    <row r="949" spans="1:48" x14ac:dyDescent="0.3">
      <c r="A949" t="s">
        <v>503</v>
      </c>
      <c r="B949" t="s">
        <v>531</v>
      </c>
      <c r="D949" t="s">
        <v>570</v>
      </c>
      <c r="F949" t="s">
        <v>646</v>
      </c>
      <c r="O949" t="s">
        <v>52</v>
      </c>
      <c r="P949" t="s">
        <v>52</v>
      </c>
      <c r="Q949" t="s">
        <v>52</v>
      </c>
      <c r="R949" t="s">
        <v>167</v>
      </c>
      <c r="S949" t="s">
        <v>1406</v>
      </c>
      <c r="V949" t="s">
        <v>1573</v>
      </c>
      <c r="Z949" t="s">
        <v>1574</v>
      </c>
      <c r="AD949" t="s">
        <v>1575</v>
      </c>
      <c r="AF949" t="s">
        <v>133</v>
      </c>
      <c r="AL949" t="s">
        <v>1576</v>
      </c>
      <c r="AN949" t="s">
        <v>513</v>
      </c>
      <c r="AP949" t="s">
        <v>1403</v>
      </c>
      <c r="AU949" t="s">
        <v>249</v>
      </c>
      <c r="AV949" t="s">
        <v>439</v>
      </c>
    </row>
    <row r="950" spans="1:48" x14ac:dyDescent="0.3">
      <c r="A950" t="s">
        <v>510</v>
      </c>
      <c r="B950" t="s">
        <v>1577</v>
      </c>
      <c r="D950" t="s">
        <v>274</v>
      </c>
      <c r="F950" t="s">
        <v>1578</v>
      </c>
      <c r="O950" t="s">
        <v>52</v>
      </c>
      <c r="P950" t="s">
        <v>52</v>
      </c>
      <c r="Q950" t="s">
        <v>52</v>
      </c>
      <c r="R950" t="s">
        <v>1579</v>
      </c>
      <c r="S950" t="s">
        <v>1580</v>
      </c>
      <c r="T950" t="s">
        <v>460</v>
      </c>
      <c r="X950" t="s">
        <v>1581</v>
      </c>
      <c r="AA950" t="s">
        <v>1582</v>
      </c>
      <c r="AG950" t="s">
        <v>284</v>
      </c>
      <c r="AL950" t="s">
        <v>1583</v>
      </c>
      <c r="AN950" t="s">
        <v>1584</v>
      </c>
      <c r="AP950" t="s">
        <v>1022</v>
      </c>
      <c r="AU950" t="s">
        <v>56</v>
      </c>
      <c r="AV950" t="s">
        <v>263</v>
      </c>
    </row>
    <row r="951" spans="1:48" x14ac:dyDescent="0.3">
      <c r="A951" t="s">
        <v>515</v>
      </c>
      <c r="B951" t="s">
        <v>403</v>
      </c>
      <c r="D951" t="s">
        <v>245</v>
      </c>
      <c r="F951" t="s">
        <v>1585</v>
      </c>
      <c r="I951" t="s">
        <v>445</v>
      </c>
      <c r="K951" t="s">
        <v>443</v>
      </c>
      <c r="O951" t="s">
        <v>52</v>
      </c>
      <c r="P951" t="s">
        <v>52</v>
      </c>
      <c r="Q951" t="s">
        <v>52</v>
      </c>
      <c r="R951" t="s">
        <v>1586</v>
      </c>
      <c r="S951" t="s">
        <v>1587</v>
      </c>
      <c r="T951" t="s">
        <v>167</v>
      </c>
      <c r="X951" t="s">
        <v>1588</v>
      </c>
      <c r="AA951" t="s">
        <v>1589</v>
      </c>
      <c r="AG951" t="s">
        <v>511</v>
      </c>
      <c r="AL951" t="s">
        <v>1590</v>
      </c>
      <c r="AN951" t="s">
        <v>1335</v>
      </c>
      <c r="AP951" t="s">
        <v>513</v>
      </c>
      <c r="AU951" t="s">
        <v>56</v>
      </c>
      <c r="AV951" t="s">
        <v>263</v>
      </c>
    </row>
    <row r="952" spans="1:48" x14ac:dyDescent="0.3">
      <c r="A952" t="s">
        <v>523</v>
      </c>
      <c r="B952" t="s">
        <v>177</v>
      </c>
      <c r="D952" t="s">
        <v>63</v>
      </c>
      <c r="F952" t="s">
        <v>1591</v>
      </c>
      <c r="I952" t="s">
        <v>756</v>
      </c>
      <c r="K952" t="s">
        <v>756</v>
      </c>
      <c r="O952" t="s">
        <v>52</v>
      </c>
      <c r="P952" t="s">
        <v>52</v>
      </c>
      <c r="Q952" t="s">
        <v>52</v>
      </c>
      <c r="R952" t="s">
        <v>1592</v>
      </c>
      <c r="S952" t="s">
        <v>1593</v>
      </c>
      <c r="T952" t="s">
        <v>194</v>
      </c>
      <c r="X952" t="s">
        <v>1594</v>
      </c>
      <c r="AA952" t="s">
        <v>1595</v>
      </c>
      <c r="AG952" t="s">
        <v>249</v>
      </c>
      <c r="AL952" t="s">
        <v>1596</v>
      </c>
      <c r="AN952" t="s">
        <v>1597</v>
      </c>
      <c r="AP952" t="s">
        <v>130</v>
      </c>
      <c r="AU952" t="s">
        <v>206</v>
      </c>
      <c r="AV952" t="s">
        <v>301</v>
      </c>
    </row>
    <row r="953" spans="1:48" x14ac:dyDescent="0.3">
      <c r="A953" t="s">
        <v>533</v>
      </c>
      <c r="B953" t="s">
        <v>62</v>
      </c>
      <c r="D953" t="s">
        <v>90</v>
      </c>
      <c r="F953" t="s">
        <v>1598</v>
      </c>
      <c r="I953" t="s">
        <v>723</v>
      </c>
      <c r="K953" t="s">
        <v>1599</v>
      </c>
      <c r="O953" t="s">
        <v>52</v>
      </c>
      <c r="P953" t="s">
        <v>52</v>
      </c>
      <c r="Q953" t="s">
        <v>52</v>
      </c>
      <c r="R953" t="s">
        <v>1600</v>
      </c>
      <c r="S953" t="s">
        <v>1601</v>
      </c>
      <c r="T953" t="s">
        <v>777</v>
      </c>
      <c r="X953" t="s">
        <v>1602</v>
      </c>
      <c r="AA953" t="s">
        <v>1603</v>
      </c>
      <c r="AG953" t="s">
        <v>194</v>
      </c>
      <c r="AL953" t="s">
        <v>1604</v>
      </c>
      <c r="AN953" t="s">
        <v>1605</v>
      </c>
      <c r="AP953" t="s">
        <v>1606</v>
      </c>
      <c r="AU953" t="s">
        <v>71</v>
      </c>
      <c r="AV953" t="s">
        <v>383</v>
      </c>
    </row>
    <row r="954" spans="1:48" x14ac:dyDescent="0.3">
      <c r="A954" t="s">
        <v>543</v>
      </c>
      <c r="B954" t="s">
        <v>403</v>
      </c>
      <c r="D954" t="s">
        <v>274</v>
      </c>
      <c r="F954" t="s">
        <v>1607</v>
      </c>
      <c r="I954" t="s">
        <v>451</v>
      </c>
      <c r="K954" t="s">
        <v>466</v>
      </c>
      <c r="O954" t="s">
        <v>52</v>
      </c>
      <c r="P954" t="s">
        <v>52</v>
      </c>
      <c r="Q954" t="s">
        <v>52</v>
      </c>
      <c r="R954" t="s">
        <v>1608</v>
      </c>
      <c r="S954" t="s">
        <v>1609</v>
      </c>
      <c r="T954" t="s">
        <v>453</v>
      </c>
      <c r="X954" t="s">
        <v>1610</v>
      </c>
      <c r="AA954" t="s">
        <v>1611</v>
      </c>
      <c r="AG954" t="s">
        <v>707</v>
      </c>
      <c r="AL954" t="s">
        <v>1612</v>
      </c>
      <c r="AN954" t="s">
        <v>1613</v>
      </c>
      <c r="AP954" t="s">
        <v>1393</v>
      </c>
      <c r="AU954" t="s">
        <v>94</v>
      </c>
      <c r="AV954" t="s">
        <v>391</v>
      </c>
    </row>
    <row r="955" spans="1:48" x14ac:dyDescent="0.3">
      <c r="A955" t="s">
        <v>552</v>
      </c>
      <c r="B955" t="s">
        <v>96</v>
      </c>
      <c r="D955" t="s">
        <v>167</v>
      </c>
      <c r="F955" t="s">
        <v>1614</v>
      </c>
      <c r="I955" t="s">
        <v>172</v>
      </c>
      <c r="K955" t="s">
        <v>138</v>
      </c>
      <c r="O955" t="s">
        <v>52</v>
      </c>
      <c r="P955" t="s">
        <v>52</v>
      </c>
      <c r="Q955" t="s">
        <v>52</v>
      </c>
      <c r="R955" t="s">
        <v>1615</v>
      </c>
      <c r="S955" t="s">
        <v>1616</v>
      </c>
      <c r="T955" t="s">
        <v>55</v>
      </c>
      <c r="X955" t="s">
        <v>1617</v>
      </c>
      <c r="AA955" t="s">
        <v>1618</v>
      </c>
      <c r="AG955" t="s">
        <v>177</v>
      </c>
      <c r="AL955" t="s">
        <v>1619</v>
      </c>
      <c r="AN955" t="s">
        <v>1620</v>
      </c>
      <c r="AP955" t="s">
        <v>1621</v>
      </c>
      <c r="AU955" t="s">
        <v>56</v>
      </c>
      <c r="AV955" t="s">
        <v>263</v>
      </c>
    </row>
    <row r="956" spans="1:48" x14ac:dyDescent="0.3">
      <c r="A956" t="s">
        <v>560</v>
      </c>
      <c r="B956" t="s">
        <v>1234</v>
      </c>
      <c r="D956" t="s">
        <v>1234</v>
      </c>
      <c r="F956" t="s">
        <v>1234</v>
      </c>
      <c r="O956" t="s">
        <v>1234</v>
      </c>
      <c r="P956" t="s">
        <v>1234</v>
      </c>
      <c r="Q956" t="s">
        <v>1234</v>
      </c>
      <c r="R956" t="s">
        <v>1234</v>
      </c>
      <c r="S956" t="s">
        <v>1234</v>
      </c>
      <c r="T956" t="s">
        <v>1234</v>
      </c>
      <c r="X956" t="s">
        <v>1234</v>
      </c>
      <c r="AA956" t="s">
        <v>1234</v>
      </c>
      <c r="AG956" t="s">
        <v>1234</v>
      </c>
      <c r="AL956" t="s">
        <v>1234</v>
      </c>
      <c r="AN956" t="s">
        <v>1234</v>
      </c>
      <c r="AP956" t="s">
        <v>1234</v>
      </c>
      <c r="AU956" t="s">
        <v>1234</v>
      </c>
      <c r="AV956" t="s">
        <v>1234</v>
      </c>
    </row>
    <row r="957" spans="1:48" x14ac:dyDescent="0.3">
      <c r="A957" t="s">
        <v>565</v>
      </c>
      <c r="B957" t="s">
        <v>1622</v>
      </c>
      <c r="D957" t="s">
        <v>1623</v>
      </c>
      <c r="F957" t="s">
        <v>1624</v>
      </c>
      <c r="O957" t="s">
        <v>52</v>
      </c>
      <c r="P957" t="s">
        <v>52</v>
      </c>
      <c r="Q957" t="s">
        <v>52</v>
      </c>
      <c r="R957" t="s">
        <v>1625</v>
      </c>
      <c r="S957" t="s">
        <v>1626</v>
      </c>
      <c r="V957" t="s">
        <v>1627</v>
      </c>
      <c r="Z957" t="s">
        <v>1628</v>
      </c>
      <c r="AD957" t="s">
        <v>1629</v>
      </c>
      <c r="AF957" t="s">
        <v>123</v>
      </c>
      <c r="AL957" t="s">
        <v>1630</v>
      </c>
      <c r="AN957" t="s">
        <v>1631</v>
      </c>
      <c r="AP957" t="s">
        <v>1632</v>
      </c>
      <c r="AU957" t="s">
        <v>388</v>
      </c>
      <c r="AV957" t="s">
        <v>331</v>
      </c>
    </row>
    <row r="958" spans="1:48" x14ac:dyDescent="0.3">
      <c r="A958" t="s">
        <v>572</v>
      </c>
      <c r="B958" t="s">
        <v>1633</v>
      </c>
      <c r="D958" t="s">
        <v>511</v>
      </c>
      <c r="F958" t="s">
        <v>1634</v>
      </c>
      <c r="O958" t="s">
        <v>52</v>
      </c>
      <c r="P958" t="s">
        <v>52</v>
      </c>
      <c r="Q958" t="s">
        <v>52</v>
      </c>
      <c r="R958" t="s">
        <v>1635</v>
      </c>
      <c r="S958" t="s">
        <v>1636</v>
      </c>
      <c r="V958" t="s">
        <v>1002</v>
      </c>
      <c r="Z958" t="s">
        <v>574</v>
      </c>
      <c r="AD958" t="s">
        <v>1637</v>
      </c>
      <c r="AF958" t="s">
        <v>289</v>
      </c>
      <c r="AL958" t="s">
        <v>1638</v>
      </c>
      <c r="AN958" t="s">
        <v>1639</v>
      </c>
      <c r="AP958" t="s">
        <v>119</v>
      </c>
      <c r="AU958" t="s">
        <v>206</v>
      </c>
      <c r="AV958" t="s">
        <v>383</v>
      </c>
    </row>
    <row r="959" spans="1:48" x14ac:dyDescent="0.3">
      <c r="A959" t="s">
        <v>577</v>
      </c>
      <c r="C959" t="s">
        <v>49</v>
      </c>
      <c r="E959" t="s">
        <v>460</v>
      </c>
      <c r="G959" t="s">
        <v>1640</v>
      </c>
      <c r="H959" t="s">
        <v>1119</v>
      </c>
      <c r="R959" t="s">
        <v>1641</v>
      </c>
      <c r="S959" t="s">
        <v>1642</v>
      </c>
      <c r="W959" t="s">
        <v>488</v>
      </c>
      <c r="AB959" t="s">
        <v>1643</v>
      </c>
      <c r="AE959" t="s">
        <v>1644</v>
      </c>
      <c r="AF959" t="s">
        <v>1252</v>
      </c>
      <c r="AK959" t="s">
        <v>1645</v>
      </c>
      <c r="AM959" t="s">
        <v>1646</v>
      </c>
      <c r="AO959" t="s">
        <v>473</v>
      </c>
      <c r="AQ959" t="s">
        <v>130</v>
      </c>
      <c r="AU959" t="s">
        <v>108</v>
      </c>
      <c r="AV959" t="s">
        <v>374</v>
      </c>
    </row>
    <row r="960" spans="1:48" x14ac:dyDescent="0.3">
      <c r="A960" t="s">
        <v>584</v>
      </c>
      <c r="C960" t="s">
        <v>630</v>
      </c>
      <c r="E960" t="s">
        <v>541</v>
      </c>
      <c r="G960" t="s">
        <v>1647</v>
      </c>
      <c r="H960" t="s">
        <v>1648</v>
      </c>
      <c r="R960" t="s">
        <v>1649</v>
      </c>
      <c r="S960" t="s">
        <v>1650</v>
      </c>
      <c r="W960" t="s">
        <v>1651</v>
      </c>
      <c r="AB960" t="s">
        <v>1652</v>
      </c>
      <c r="AE960" t="s">
        <v>1653</v>
      </c>
      <c r="AF960" t="s">
        <v>117</v>
      </c>
      <c r="AK960" t="s">
        <v>664</v>
      </c>
      <c r="AM960" t="s">
        <v>1654</v>
      </c>
      <c r="AO960" t="s">
        <v>1655</v>
      </c>
      <c r="AQ960" t="s">
        <v>328</v>
      </c>
      <c r="AU960" t="s">
        <v>147</v>
      </c>
      <c r="AV960" t="s">
        <v>66</v>
      </c>
    </row>
    <row r="961" spans="1:48" x14ac:dyDescent="0.3">
      <c r="A961" t="s">
        <v>591</v>
      </c>
      <c r="C961" t="s">
        <v>471</v>
      </c>
      <c r="E961" t="s">
        <v>50</v>
      </c>
      <c r="G961" t="s">
        <v>1656</v>
      </c>
      <c r="H961" t="s">
        <v>1648</v>
      </c>
      <c r="R961" t="s">
        <v>1657</v>
      </c>
      <c r="S961" t="s">
        <v>1406</v>
      </c>
      <c r="W961" t="s">
        <v>1658</v>
      </c>
      <c r="AB961" t="s">
        <v>1659</v>
      </c>
      <c r="AE961" t="s">
        <v>1660</v>
      </c>
      <c r="AF961" t="s">
        <v>383</v>
      </c>
      <c r="AK961" t="s">
        <v>1661</v>
      </c>
      <c r="AM961" t="s">
        <v>1662</v>
      </c>
      <c r="AO961" t="s">
        <v>271</v>
      </c>
      <c r="AQ961" t="s">
        <v>1525</v>
      </c>
      <c r="AU961" t="s">
        <v>228</v>
      </c>
      <c r="AV961" t="s">
        <v>439</v>
      </c>
    </row>
    <row r="962" spans="1:48" x14ac:dyDescent="0.3">
      <c r="A962" t="s">
        <v>600</v>
      </c>
      <c r="C962" t="s">
        <v>201</v>
      </c>
      <c r="E962" t="s">
        <v>167</v>
      </c>
      <c r="G962" t="s">
        <v>1663</v>
      </c>
      <c r="H962" t="s">
        <v>602</v>
      </c>
      <c r="R962" t="s">
        <v>1664</v>
      </c>
      <c r="S962" t="s">
        <v>1665</v>
      </c>
      <c r="U962" t="s">
        <v>1658</v>
      </c>
      <c r="Y962" t="s">
        <v>1666</v>
      </c>
      <c r="AC962" t="s">
        <v>1667</v>
      </c>
      <c r="AG962" t="s">
        <v>79</v>
      </c>
      <c r="AK962" t="s">
        <v>649</v>
      </c>
      <c r="AM962" t="s">
        <v>1668</v>
      </c>
      <c r="AO962" t="s">
        <v>1335</v>
      </c>
      <c r="AQ962" t="s">
        <v>260</v>
      </c>
      <c r="AU962" t="s">
        <v>55</v>
      </c>
      <c r="AV962" t="s">
        <v>263</v>
      </c>
    </row>
    <row r="963" spans="1:48" x14ac:dyDescent="0.3">
      <c r="A963" t="s">
        <v>606</v>
      </c>
      <c r="C963" t="s">
        <v>1669</v>
      </c>
      <c r="E963" t="s">
        <v>1670</v>
      </c>
      <c r="G963" t="s">
        <v>1671</v>
      </c>
      <c r="H963" t="s">
        <v>616</v>
      </c>
      <c r="J963" t="s">
        <v>453</v>
      </c>
      <c r="L963" t="s">
        <v>67</v>
      </c>
      <c r="R963" t="s">
        <v>1672</v>
      </c>
      <c r="S963" t="s">
        <v>1673</v>
      </c>
      <c r="U963" t="s">
        <v>1674</v>
      </c>
      <c r="Y963" t="s">
        <v>1675</v>
      </c>
      <c r="AC963" t="s">
        <v>1676</v>
      </c>
      <c r="AG963" t="s">
        <v>90</v>
      </c>
      <c r="AK963" t="s">
        <v>1677</v>
      </c>
      <c r="AM963" t="s">
        <v>1678</v>
      </c>
      <c r="AO963" t="s">
        <v>281</v>
      </c>
      <c r="AQ963" t="s">
        <v>1313</v>
      </c>
      <c r="AU963" t="s">
        <v>274</v>
      </c>
      <c r="AV963" t="s">
        <v>206</v>
      </c>
    </row>
    <row r="964" spans="1:48" x14ac:dyDescent="0.3">
      <c r="A964" t="s">
        <v>614</v>
      </c>
      <c r="C964" t="s">
        <v>1679</v>
      </c>
      <c r="E964" t="s">
        <v>1680</v>
      </c>
      <c r="G964" t="s">
        <v>1681</v>
      </c>
      <c r="H964" t="s">
        <v>1682</v>
      </c>
      <c r="J964" t="s">
        <v>792</v>
      </c>
      <c r="L964" t="s">
        <v>134</v>
      </c>
      <c r="R964" t="s">
        <v>1683</v>
      </c>
      <c r="S964" t="s">
        <v>1684</v>
      </c>
      <c r="U964" t="s">
        <v>695</v>
      </c>
      <c r="Y964" t="s">
        <v>1685</v>
      </c>
      <c r="AC964" t="s">
        <v>1686</v>
      </c>
      <c r="AG964" t="s">
        <v>172</v>
      </c>
      <c r="AK964" t="s">
        <v>631</v>
      </c>
      <c r="AM964" t="s">
        <v>1687</v>
      </c>
      <c r="AO964" t="s">
        <v>1688</v>
      </c>
      <c r="AQ964" t="s">
        <v>1689</v>
      </c>
      <c r="AU964" t="s">
        <v>94</v>
      </c>
      <c r="AV964" t="s">
        <v>263</v>
      </c>
    </row>
    <row r="965" spans="1:48" x14ac:dyDescent="0.3">
      <c r="A965" t="s">
        <v>624</v>
      </c>
      <c r="C965" t="s">
        <v>1690</v>
      </c>
      <c r="E965" t="s">
        <v>1691</v>
      </c>
      <c r="G965" t="s">
        <v>1692</v>
      </c>
      <c r="H965" t="s">
        <v>635</v>
      </c>
      <c r="J965" t="s">
        <v>1693</v>
      </c>
      <c r="L965" t="s">
        <v>144</v>
      </c>
      <c r="R965" t="s">
        <v>1694</v>
      </c>
      <c r="S965" t="s">
        <v>1695</v>
      </c>
      <c r="U965" t="s">
        <v>900</v>
      </c>
      <c r="Y965" t="s">
        <v>1696</v>
      </c>
      <c r="AC965" t="s">
        <v>1697</v>
      </c>
      <c r="AG965" t="s">
        <v>158</v>
      </c>
      <c r="AK965" t="s">
        <v>1698</v>
      </c>
      <c r="AM965" t="s">
        <v>1699</v>
      </c>
      <c r="AO965" t="s">
        <v>473</v>
      </c>
      <c r="AQ965" t="s">
        <v>1700</v>
      </c>
      <c r="AU965" t="s">
        <v>134</v>
      </c>
      <c r="AV965" t="s">
        <v>263</v>
      </c>
    </row>
    <row r="966" spans="1:48" x14ac:dyDescent="0.3">
      <c r="A966" t="s">
        <v>633</v>
      </c>
      <c r="C966" t="s">
        <v>1701</v>
      </c>
      <c r="E966" t="s">
        <v>570</v>
      </c>
      <c r="G966" t="s">
        <v>1702</v>
      </c>
      <c r="H966" t="s">
        <v>1703</v>
      </c>
      <c r="J966" t="s">
        <v>215</v>
      </c>
      <c r="L966" t="s">
        <v>174</v>
      </c>
      <c r="R966" t="s">
        <v>1704</v>
      </c>
      <c r="S966" t="s">
        <v>1705</v>
      </c>
      <c r="U966" t="s">
        <v>276</v>
      </c>
      <c r="Y966" t="s">
        <v>1706</v>
      </c>
      <c r="AC966" t="s">
        <v>1707</v>
      </c>
      <c r="AG966" t="s">
        <v>172</v>
      </c>
      <c r="AK966" t="s">
        <v>1708</v>
      </c>
      <c r="AM966" t="s">
        <v>1709</v>
      </c>
      <c r="AO966" t="s">
        <v>1710</v>
      </c>
      <c r="AQ966" t="s">
        <v>1308</v>
      </c>
      <c r="AU966" t="s">
        <v>134</v>
      </c>
      <c r="AV966" t="s">
        <v>263</v>
      </c>
    </row>
    <row r="967" spans="1:48" x14ac:dyDescent="0.3">
      <c r="A967" t="s">
        <v>642</v>
      </c>
      <c r="C967" t="s">
        <v>305</v>
      </c>
      <c r="E967" t="s">
        <v>84</v>
      </c>
      <c r="G967" t="s">
        <v>1711</v>
      </c>
      <c r="H967" t="s">
        <v>1712</v>
      </c>
      <c r="J967" t="s">
        <v>308</v>
      </c>
      <c r="L967" t="s">
        <v>804</v>
      </c>
      <c r="R967" t="s">
        <v>1713</v>
      </c>
      <c r="S967" t="s">
        <v>1514</v>
      </c>
      <c r="U967" t="s">
        <v>727</v>
      </c>
      <c r="Y967" t="s">
        <v>1714</v>
      </c>
      <c r="AC967" t="s">
        <v>1715</v>
      </c>
      <c r="AG967" t="s">
        <v>70</v>
      </c>
      <c r="AK967" t="s">
        <v>1716</v>
      </c>
      <c r="AM967" t="s">
        <v>1717</v>
      </c>
      <c r="AO967" t="s">
        <v>501</v>
      </c>
      <c r="AQ967" t="s">
        <v>1620</v>
      </c>
      <c r="AU967" t="s">
        <v>274</v>
      </c>
      <c r="AV967" t="s">
        <v>263</v>
      </c>
    </row>
    <row r="968" spans="1:48" x14ac:dyDescent="0.3">
      <c r="A968" t="s">
        <v>652</v>
      </c>
      <c r="C968" t="s">
        <v>653</v>
      </c>
      <c r="E968" t="s">
        <v>511</v>
      </c>
      <c r="G968" t="s">
        <v>1718</v>
      </c>
      <c r="H968" t="s">
        <v>1719</v>
      </c>
      <c r="R968" t="s">
        <v>1641</v>
      </c>
      <c r="S968" t="s">
        <v>1720</v>
      </c>
      <c r="U968" t="s">
        <v>1721</v>
      </c>
      <c r="Y968" t="s">
        <v>1722</v>
      </c>
      <c r="AC968" t="s">
        <v>1723</v>
      </c>
      <c r="AG968" t="s">
        <v>55</v>
      </c>
      <c r="AK968" t="s">
        <v>1724</v>
      </c>
      <c r="AM968" t="s">
        <v>1725</v>
      </c>
      <c r="AO968" t="s">
        <v>1726</v>
      </c>
      <c r="AQ968" t="s">
        <v>1727</v>
      </c>
      <c r="AU968" t="s">
        <v>60</v>
      </c>
      <c r="AV968" t="s">
        <v>117</v>
      </c>
    </row>
    <row r="969" spans="1:48" x14ac:dyDescent="0.3">
      <c r="A969" t="s">
        <v>660</v>
      </c>
      <c r="C969" t="s">
        <v>744</v>
      </c>
      <c r="E969" t="s">
        <v>650</v>
      </c>
      <c r="G969" t="s">
        <v>1728</v>
      </c>
      <c r="H969" t="s">
        <v>1682</v>
      </c>
      <c r="R969" t="s">
        <v>1729</v>
      </c>
      <c r="S969" t="s">
        <v>1730</v>
      </c>
      <c r="W969" t="s">
        <v>94</v>
      </c>
      <c r="AB969" t="s">
        <v>1731</v>
      </c>
      <c r="AE969" t="s">
        <v>1732</v>
      </c>
      <c r="AF969" t="s">
        <v>56</v>
      </c>
      <c r="AK969" t="s">
        <v>1733</v>
      </c>
      <c r="AM969" t="s">
        <v>1734</v>
      </c>
      <c r="AO969" t="s">
        <v>1735</v>
      </c>
      <c r="AQ969" t="s">
        <v>1266</v>
      </c>
      <c r="AU969" t="s">
        <v>133</v>
      </c>
      <c r="AV969" t="s">
        <v>121</v>
      </c>
    </row>
    <row r="970" spans="1:48" x14ac:dyDescent="0.3">
      <c r="A970" t="s">
        <v>666</v>
      </c>
      <c r="C970" t="s">
        <v>727</v>
      </c>
      <c r="E970" t="s">
        <v>727</v>
      </c>
      <c r="G970" t="s">
        <v>1736</v>
      </c>
      <c r="H970" t="s">
        <v>230</v>
      </c>
      <c r="R970" t="s">
        <v>1737</v>
      </c>
      <c r="S970" t="s">
        <v>1738</v>
      </c>
      <c r="W970" t="s">
        <v>158</v>
      </c>
      <c r="AB970" t="s">
        <v>1739</v>
      </c>
      <c r="AE970" t="s">
        <v>1594</v>
      </c>
      <c r="AF970" t="s">
        <v>158</v>
      </c>
      <c r="AK970" t="s">
        <v>1740</v>
      </c>
      <c r="AM970" t="s">
        <v>1741</v>
      </c>
      <c r="AO970" t="s">
        <v>156</v>
      </c>
      <c r="AQ970" t="s">
        <v>118</v>
      </c>
      <c r="AU970" t="s">
        <v>71</v>
      </c>
      <c r="AV970" t="s">
        <v>56</v>
      </c>
    </row>
    <row r="971" spans="1:48" x14ac:dyDescent="0.3">
      <c r="A971" t="s">
        <v>676</v>
      </c>
      <c r="C971" t="s">
        <v>1742</v>
      </c>
      <c r="E971" t="s">
        <v>377</v>
      </c>
      <c r="G971" t="s">
        <v>1743</v>
      </c>
      <c r="R971" t="s">
        <v>1744</v>
      </c>
      <c r="S971" t="s">
        <v>1745</v>
      </c>
      <c r="W971" t="s">
        <v>73</v>
      </c>
      <c r="AB971" t="s">
        <v>1746</v>
      </c>
      <c r="AE971" t="s">
        <v>1747</v>
      </c>
      <c r="AF971" t="s">
        <v>249</v>
      </c>
      <c r="AM971" t="s">
        <v>1748</v>
      </c>
      <c r="AO971" t="s">
        <v>445</v>
      </c>
      <c r="AQ971" t="s">
        <v>347</v>
      </c>
      <c r="AU971" t="s">
        <v>107</v>
      </c>
      <c r="AV971" t="s">
        <v>94</v>
      </c>
    </row>
    <row r="972" spans="1:48" x14ac:dyDescent="0.3">
      <c r="A972" t="s">
        <v>680</v>
      </c>
      <c r="C972" t="s">
        <v>1749</v>
      </c>
      <c r="E972" t="s">
        <v>298</v>
      </c>
      <c r="G972" t="s">
        <v>1750</v>
      </c>
      <c r="R972" t="s">
        <v>1751</v>
      </c>
      <c r="S972" t="s">
        <v>1745</v>
      </c>
      <c r="W972" t="s">
        <v>1651</v>
      </c>
      <c r="AB972" t="s">
        <v>1752</v>
      </c>
      <c r="AE972" t="s">
        <v>1753</v>
      </c>
      <c r="AF972" t="s">
        <v>289</v>
      </c>
      <c r="AM972" t="s">
        <v>1754</v>
      </c>
      <c r="AO972" t="s">
        <v>508</v>
      </c>
      <c r="AQ972" t="s">
        <v>485</v>
      </c>
      <c r="AU972" t="s">
        <v>133</v>
      </c>
      <c r="AV972" t="s">
        <v>249</v>
      </c>
    </row>
    <row r="973" spans="1:48" x14ac:dyDescent="0.3">
      <c r="A973" t="s">
        <v>686</v>
      </c>
      <c r="C973" t="s">
        <v>1755</v>
      </c>
      <c r="E973" t="s">
        <v>73</v>
      </c>
      <c r="G973" t="s">
        <v>1756</v>
      </c>
      <c r="R973" t="s">
        <v>1757</v>
      </c>
      <c r="S973" t="s">
        <v>1745</v>
      </c>
      <c r="W973" t="s">
        <v>409</v>
      </c>
      <c r="AB973" t="s">
        <v>858</v>
      </c>
      <c r="AE973" t="s">
        <v>1758</v>
      </c>
      <c r="AF973" t="s">
        <v>123</v>
      </c>
      <c r="AM973" t="s">
        <v>1759</v>
      </c>
      <c r="AO973" t="s">
        <v>264</v>
      </c>
      <c r="AQ973" t="s">
        <v>1760</v>
      </c>
      <c r="AU973" t="s">
        <v>158</v>
      </c>
      <c r="AV973" t="s">
        <v>66</v>
      </c>
    </row>
    <row r="974" spans="1:48" x14ac:dyDescent="0.3">
      <c r="A974" t="s">
        <v>692</v>
      </c>
      <c r="C974" t="s">
        <v>1761</v>
      </c>
      <c r="E974" t="s">
        <v>297</v>
      </c>
      <c r="G974" t="s">
        <v>1762</v>
      </c>
      <c r="R974" t="s">
        <v>1480</v>
      </c>
      <c r="S974" t="s">
        <v>1737</v>
      </c>
      <c r="U974" t="s">
        <v>535</v>
      </c>
      <c r="Y974" t="s">
        <v>1763</v>
      </c>
      <c r="AC974" t="s">
        <v>563</v>
      </c>
      <c r="AG974" t="s">
        <v>117</v>
      </c>
      <c r="AM974" t="s">
        <v>1764</v>
      </c>
      <c r="AO974" t="s">
        <v>425</v>
      </c>
      <c r="AQ974" t="s">
        <v>1765</v>
      </c>
      <c r="AU974" t="s">
        <v>274</v>
      </c>
      <c r="AV974" t="s">
        <v>66</v>
      </c>
    </row>
    <row r="975" spans="1:48" x14ac:dyDescent="0.3">
      <c r="A975" t="s">
        <v>697</v>
      </c>
      <c r="C975" t="s">
        <v>50</v>
      </c>
      <c r="E975" t="s">
        <v>96</v>
      </c>
      <c r="G975" t="s">
        <v>1766</v>
      </c>
      <c r="J975" t="s">
        <v>1767</v>
      </c>
      <c r="L975" t="s">
        <v>712</v>
      </c>
      <c r="R975" t="s">
        <v>201</v>
      </c>
      <c r="S975" t="s">
        <v>1768</v>
      </c>
      <c r="U975" t="s">
        <v>377</v>
      </c>
      <c r="Y975" t="s">
        <v>1769</v>
      </c>
      <c r="AC975" t="s">
        <v>1770</v>
      </c>
      <c r="AG975" t="s">
        <v>70</v>
      </c>
      <c r="AM975" t="s">
        <v>1771</v>
      </c>
      <c r="AO975" t="s">
        <v>1772</v>
      </c>
      <c r="AQ975" t="s">
        <v>1335</v>
      </c>
      <c r="AU975" t="s">
        <v>108</v>
      </c>
      <c r="AV975" t="s">
        <v>439</v>
      </c>
    </row>
    <row r="976" spans="1:48" x14ac:dyDescent="0.3">
      <c r="A976" t="s">
        <v>703</v>
      </c>
      <c r="C976" t="s">
        <v>1721</v>
      </c>
      <c r="E976" t="s">
        <v>201</v>
      </c>
      <c r="G976" t="s">
        <v>1773</v>
      </c>
      <c r="J976" t="s">
        <v>172</v>
      </c>
      <c r="L976" t="s">
        <v>489</v>
      </c>
      <c r="R976" t="s">
        <v>1448</v>
      </c>
      <c r="S976" t="s">
        <v>1435</v>
      </c>
      <c r="U976" t="s">
        <v>215</v>
      </c>
      <c r="Y976" t="s">
        <v>1774</v>
      </c>
      <c r="AC976" t="s">
        <v>1775</v>
      </c>
      <c r="AG976" t="s">
        <v>403</v>
      </c>
      <c r="AM976" t="s">
        <v>1776</v>
      </c>
      <c r="AO976" t="s">
        <v>881</v>
      </c>
      <c r="AQ976" t="s">
        <v>507</v>
      </c>
      <c r="AU976" t="s">
        <v>133</v>
      </c>
      <c r="AV976" t="s">
        <v>439</v>
      </c>
    </row>
    <row r="977" spans="1:48" x14ac:dyDescent="0.3">
      <c r="A977" t="s">
        <v>709</v>
      </c>
      <c r="C977" t="s">
        <v>193</v>
      </c>
      <c r="E977" t="s">
        <v>305</v>
      </c>
      <c r="G977" t="s">
        <v>1777</v>
      </c>
      <c r="J977" t="s">
        <v>284</v>
      </c>
      <c r="L977" t="s">
        <v>410</v>
      </c>
      <c r="R977" t="s">
        <v>823</v>
      </c>
      <c r="S977" t="s">
        <v>1778</v>
      </c>
      <c r="U977" t="s">
        <v>245</v>
      </c>
      <c r="Y977" t="s">
        <v>1779</v>
      </c>
      <c r="AC977" t="s">
        <v>1780</v>
      </c>
      <c r="AG977" t="s">
        <v>70</v>
      </c>
      <c r="AM977" t="s">
        <v>1781</v>
      </c>
      <c r="AO977" t="s">
        <v>1726</v>
      </c>
      <c r="AQ977" t="s">
        <v>1403</v>
      </c>
      <c r="AU977" t="s">
        <v>249</v>
      </c>
      <c r="AV977" t="s">
        <v>439</v>
      </c>
    </row>
    <row r="978" spans="1:48" x14ac:dyDescent="0.3">
      <c r="A978" t="s">
        <v>718</v>
      </c>
      <c r="C978" t="s">
        <v>304</v>
      </c>
      <c r="E978" t="s">
        <v>305</v>
      </c>
      <c r="G978" t="s">
        <v>1782</v>
      </c>
      <c r="J978" t="s">
        <v>172</v>
      </c>
      <c r="L978" t="s">
        <v>489</v>
      </c>
      <c r="R978" t="s">
        <v>1129</v>
      </c>
      <c r="S978" t="s">
        <v>1783</v>
      </c>
      <c r="U978" t="s">
        <v>117</v>
      </c>
      <c r="Y978" t="s">
        <v>1697</v>
      </c>
      <c r="AC978" t="s">
        <v>1784</v>
      </c>
      <c r="AG978" t="s">
        <v>63</v>
      </c>
      <c r="AM978" t="s">
        <v>1785</v>
      </c>
      <c r="AO978" t="s">
        <v>1393</v>
      </c>
      <c r="AQ978" t="s">
        <v>1786</v>
      </c>
      <c r="AU978" t="s">
        <v>108</v>
      </c>
      <c r="AV978" t="s">
        <v>263</v>
      </c>
    </row>
    <row r="979" spans="1:48" x14ac:dyDescent="0.3">
      <c r="A979" t="s">
        <v>726</v>
      </c>
      <c r="C979" t="s">
        <v>297</v>
      </c>
      <c r="E979" t="s">
        <v>96</v>
      </c>
      <c r="G979" t="s">
        <v>1787</v>
      </c>
      <c r="J979" t="s">
        <v>451</v>
      </c>
      <c r="L979" t="s">
        <v>370</v>
      </c>
      <c r="R979" t="s">
        <v>1788</v>
      </c>
      <c r="S979" t="s">
        <v>1737</v>
      </c>
      <c r="U979" t="s">
        <v>1658</v>
      </c>
      <c r="Y979" t="s">
        <v>1789</v>
      </c>
      <c r="AC979" t="s">
        <v>663</v>
      </c>
      <c r="AG979" t="s">
        <v>70</v>
      </c>
      <c r="AM979" t="s">
        <v>1790</v>
      </c>
      <c r="AO979" t="s">
        <v>501</v>
      </c>
      <c r="AQ979" t="s">
        <v>1791</v>
      </c>
      <c r="AU979" t="s">
        <v>121</v>
      </c>
      <c r="AV979" t="s">
        <v>391</v>
      </c>
    </row>
    <row r="980" spans="1:48" x14ac:dyDescent="0.3">
      <c r="A980" t="s">
        <v>734</v>
      </c>
      <c r="C980" t="s">
        <v>1792</v>
      </c>
      <c r="E980" t="s">
        <v>96</v>
      </c>
      <c r="G980" t="s">
        <v>1793</v>
      </c>
      <c r="R980" t="s">
        <v>1794</v>
      </c>
      <c r="S980" t="s">
        <v>1795</v>
      </c>
      <c r="U980" t="s">
        <v>792</v>
      </c>
      <c r="Y980" t="s">
        <v>1796</v>
      </c>
      <c r="AC980" t="s">
        <v>1797</v>
      </c>
      <c r="AG980" t="s">
        <v>108</v>
      </c>
      <c r="AM980" t="s">
        <v>1798</v>
      </c>
      <c r="AO980" t="s">
        <v>1799</v>
      </c>
      <c r="AQ980" t="s">
        <v>225</v>
      </c>
      <c r="AU980" t="s">
        <v>274</v>
      </c>
      <c r="AV980" t="s">
        <v>263</v>
      </c>
    </row>
    <row r="981" spans="1:48" x14ac:dyDescent="0.3">
      <c r="A981" t="s">
        <v>738</v>
      </c>
      <c r="C981" t="s">
        <v>534</v>
      </c>
      <c r="E981" t="s">
        <v>535</v>
      </c>
      <c r="G981" t="s">
        <v>1800</v>
      </c>
      <c r="R981" t="s">
        <v>1310</v>
      </c>
      <c r="S981" t="s">
        <v>62</v>
      </c>
      <c r="W981" t="s">
        <v>730</v>
      </c>
      <c r="AB981" t="s">
        <v>1801</v>
      </c>
      <c r="AE981" t="s">
        <v>1802</v>
      </c>
      <c r="AF981" t="s">
        <v>133</v>
      </c>
      <c r="AM981" t="s">
        <v>1803</v>
      </c>
      <c r="AO981" t="s">
        <v>1688</v>
      </c>
      <c r="AQ981" t="s">
        <v>1804</v>
      </c>
      <c r="AU981" t="s">
        <v>107</v>
      </c>
      <c r="AV981" t="s">
        <v>94</v>
      </c>
    </row>
    <row r="982" spans="1:48" x14ac:dyDescent="0.3">
      <c r="A982" t="s">
        <v>747</v>
      </c>
      <c r="C982" t="s">
        <v>535</v>
      </c>
      <c r="E982" t="s">
        <v>535</v>
      </c>
      <c r="G982" t="s">
        <v>1805</v>
      </c>
      <c r="R982" t="s">
        <v>449</v>
      </c>
      <c r="S982" t="s">
        <v>1806</v>
      </c>
      <c r="W982" t="s">
        <v>832</v>
      </c>
      <c r="AB982" t="s">
        <v>1807</v>
      </c>
      <c r="AE982" t="s">
        <v>1807</v>
      </c>
      <c r="AF982" t="s">
        <v>156</v>
      </c>
      <c r="AM982" t="s">
        <v>1808</v>
      </c>
      <c r="AO982" t="s">
        <v>308</v>
      </c>
      <c r="AQ982" t="s">
        <v>308</v>
      </c>
      <c r="AU982" t="s">
        <v>158</v>
      </c>
      <c r="AV982" t="s">
        <v>158</v>
      </c>
    </row>
    <row r="983" spans="1:48" x14ac:dyDescent="0.3">
      <c r="A983" t="s">
        <v>754</v>
      </c>
      <c r="C983" t="s">
        <v>1234</v>
      </c>
      <c r="E983" t="s">
        <v>1234</v>
      </c>
      <c r="G983" t="s">
        <v>1234</v>
      </c>
      <c r="R983" t="s">
        <v>1234</v>
      </c>
      <c r="S983" t="s">
        <v>1234</v>
      </c>
      <c r="W983" t="s">
        <v>1234</v>
      </c>
      <c r="AB983" t="s">
        <v>1234</v>
      </c>
      <c r="AE983" t="s">
        <v>1234</v>
      </c>
      <c r="AF983" t="s">
        <v>1234</v>
      </c>
      <c r="AM983" t="s">
        <v>1234</v>
      </c>
      <c r="AO983" t="s">
        <v>1234</v>
      </c>
      <c r="AQ983" t="s">
        <v>1234</v>
      </c>
      <c r="AU983" t="s">
        <v>1234</v>
      </c>
      <c r="AV983" t="s">
        <v>1234</v>
      </c>
    </row>
    <row r="984" spans="1:48" x14ac:dyDescent="0.3">
      <c r="A984" t="s">
        <v>762</v>
      </c>
      <c r="C984" t="s">
        <v>763</v>
      </c>
      <c r="E984" t="s">
        <v>1809</v>
      </c>
      <c r="G984" t="s">
        <v>1810</v>
      </c>
      <c r="R984" t="s">
        <v>1811</v>
      </c>
      <c r="S984" t="s">
        <v>1812</v>
      </c>
      <c r="W984" t="s">
        <v>1003</v>
      </c>
      <c r="AB984" t="s">
        <v>1813</v>
      </c>
      <c r="AE984" t="s">
        <v>1814</v>
      </c>
      <c r="AF984" t="s">
        <v>1815</v>
      </c>
      <c r="AM984" t="s">
        <v>1816</v>
      </c>
      <c r="AO984" t="s">
        <v>1817</v>
      </c>
      <c r="AQ984" t="s">
        <v>482</v>
      </c>
      <c r="AU984" t="s">
        <v>816</v>
      </c>
      <c r="AV984" t="s">
        <v>750</v>
      </c>
    </row>
    <row r="985" spans="1:48" x14ac:dyDescent="0.3">
      <c r="A985" t="s">
        <v>772</v>
      </c>
      <c r="C985" t="s">
        <v>773</v>
      </c>
      <c r="E985" t="s">
        <v>403</v>
      </c>
      <c r="G985" t="s">
        <v>1818</v>
      </c>
      <c r="R985" t="s">
        <v>1819</v>
      </c>
      <c r="S985" t="s">
        <v>1820</v>
      </c>
      <c r="W985" t="s">
        <v>167</v>
      </c>
      <c r="AB985" t="s">
        <v>775</v>
      </c>
      <c r="AE985" t="s">
        <v>776</v>
      </c>
      <c r="AF985" t="s">
        <v>374</v>
      </c>
      <c r="AM985" t="s">
        <v>1379</v>
      </c>
      <c r="AO985" t="s">
        <v>777</v>
      </c>
      <c r="AQ985" t="s">
        <v>778</v>
      </c>
      <c r="AU985" t="s">
        <v>79</v>
      </c>
      <c r="AV985" t="s">
        <v>147</v>
      </c>
    </row>
    <row r="986" spans="1:48" x14ac:dyDescent="0.3">
      <c r="A986" t="s">
        <v>780</v>
      </c>
      <c r="C986" t="s">
        <v>1821</v>
      </c>
      <c r="E986" t="s">
        <v>297</v>
      </c>
      <c r="G986" t="s">
        <v>1822</v>
      </c>
      <c r="R986" t="s">
        <v>1823</v>
      </c>
      <c r="S986" t="s">
        <v>1824</v>
      </c>
      <c r="U986" t="s">
        <v>459</v>
      </c>
      <c r="Y986" t="s">
        <v>563</v>
      </c>
      <c r="AC986" t="s">
        <v>1550</v>
      </c>
      <c r="AG986" t="s">
        <v>117</v>
      </c>
      <c r="AM986" t="s">
        <v>1825</v>
      </c>
      <c r="AO986" t="s">
        <v>251</v>
      </c>
      <c r="AQ986" t="s">
        <v>832</v>
      </c>
      <c r="AU986" t="s">
        <v>172</v>
      </c>
      <c r="AV986" t="s">
        <v>71</v>
      </c>
    </row>
    <row r="987" spans="1:48" x14ac:dyDescent="0.3">
      <c r="A987" t="s">
        <v>785</v>
      </c>
      <c r="C987" t="s">
        <v>727</v>
      </c>
      <c r="E987" t="s">
        <v>727</v>
      </c>
      <c r="G987" t="s">
        <v>1826</v>
      </c>
      <c r="J987" t="s">
        <v>871</v>
      </c>
      <c r="L987" t="s">
        <v>787</v>
      </c>
      <c r="R987" t="s">
        <v>1827</v>
      </c>
      <c r="S987" t="s">
        <v>1679</v>
      </c>
      <c r="U987" t="s">
        <v>1828</v>
      </c>
      <c r="Y987" t="s">
        <v>1086</v>
      </c>
      <c r="AC987" t="s">
        <v>689</v>
      </c>
      <c r="AG987" t="s">
        <v>439</v>
      </c>
      <c r="AM987" t="s">
        <v>1829</v>
      </c>
      <c r="AO987" t="s">
        <v>792</v>
      </c>
      <c r="AQ987" t="s">
        <v>201</v>
      </c>
      <c r="AU987" t="s">
        <v>172</v>
      </c>
      <c r="AV987" t="s">
        <v>147</v>
      </c>
    </row>
    <row r="988" spans="1:48" x14ac:dyDescent="0.3">
      <c r="A988" t="s">
        <v>791</v>
      </c>
      <c r="C988" t="s">
        <v>1234</v>
      </c>
      <c r="E988" t="s">
        <v>1234</v>
      </c>
      <c r="G988" t="s">
        <v>1234</v>
      </c>
      <c r="J988" t="s">
        <v>1234</v>
      </c>
      <c r="L988" t="s">
        <v>1234</v>
      </c>
      <c r="R988" t="s">
        <v>1234</v>
      </c>
      <c r="S988" t="s">
        <v>1234</v>
      </c>
      <c r="U988" t="s">
        <v>1234</v>
      </c>
      <c r="Y988" t="s">
        <v>1234</v>
      </c>
      <c r="AC988" t="s">
        <v>1234</v>
      </c>
      <c r="AG988" t="s">
        <v>1234</v>
      </c>
      <c r="AM988" t="s">
        <v>1234</v>
      </c>
      <c r="AO988" t="s">
        <v>1234</v>
      </c>
      <c r="AQ988" t="s">
        <v>1234</v>
      </c>
      <c r="AU988" t="s">
        <v>1234</v>
      </c>
      <c r="AV988" t="s">
        <v>1234</v>
      </c>
    </row>
    <row r="989" spans="1:48" x14ac:dyDescent="0.3">
      <c r="A989" t="s">
        <v>802</v>
      </c>
      <c r="C989" t="s">
        <v>377</v>
      </c>
      <c r="E989" t="s">
        <v>566</v>
      </c>
      <c r="G989" t="s">
        <v>1830</v>
      </c>
      <c r="J989" t="s">
        <v>435</v>
      </c>
      <c r="L989" t="s">
        <v>370</v>
      </c>
      <c r="R989" t="s">
        <v>1827</v>
      </c>
      <c r="S989" t="s">
        <v>1831</v>
      </c>
      <c r="U989" t="s">
        <v>710</v>
      </c>
      <c r="Y989" t="s">
        <v>671</v>
      </c>
      <c r="AC989" t="s">
        <v>1832</v>
      </c>
      <c r="AG989" t="s">
        <v>70</v>
      </c>
      <c r="AM989" t="s">
        <v>1833</v>
      </c>
      <c r="AO989" t="s">
        <v>249</v>
      </c>
      <c r="AQ989" t="s">
        <v>388</v>
      </c>
      <c r="AU989" t="s">
        <v>228</v>
      </c>
      <c r="AV989" t="s">
        <v>71</v>
      </c>
    </row>
    <row r="990" spans="1:48" x14ac:dyDescent="0.3">
      <c r="A990" t="s">
        <v>807</v>
      </c>
      <c r="C990" t="s">
        <v>554</v>
      </c>
      <c r="E990" t="s">
        <v>297</v>
      </c>
      <c r="G990" t="s">
        <v>1834</v>
      </c>
      <c r="J990" t="s">
        <v>419</v>
      </c>
      <c r="L990" t="s">
        <v>125</v>
      </c>
      <c r="R990" t="s">
        <v>763</v>
      </c>
      <c r="S990" t="s">
        <v>1835</v>
      </c>
      <c r="U990" t="s">
        <v>460</v>
      </c>
      <c r="Y990" t="s">
        <v>775</v>
      </c>
      <c r="AC990" t="s">
        <v>1836</v>
      </c>
      <c r="AG990" t="s">
        <v>107</v>
      </c>
      <c r="AM990" t="s">
        <v>1837</v>
      </c>
      <c r="AO990" t="s">
        <v>446</v>
      </c>
      <c r="AQ990" t="s">
        <v>810</v>
      </c>
      <c r="AU990" t="s">
        <v>228</v>
      </c>
      <c r="AV990" t="s">
        <v>60</v>
      </c>
    </row>
    <row r="991" spans="1:48" x14ac:dyDescent="0.3">
      <c r="A991" t="s">
        <v>812</v>
      </c>
      <c r="C991" t="s">
        <v>535</v>
      </c>
      <c r="E991" t="s">
        <v>377</v>
      </c>
      <c r="G991" t="s">
        <v>1838</v>
      </c>
      <c r="J991" t="s">
        <v>814</v>
      </c>
      <c r="L991" t="s">
        <v>815</v>
      </c>
      <c r="R991" t="s">
        <v>1839</v>
      </c>
      <c r="S991" t="s">
        <v>1840</v>
      </c>
      <c r="U991" t="s">
        <v>304</v>
      </c>
      <c r="Y991" t="s">
        <v>1841</v>
      </c>
      <c r="AC991" t="s">
        <v>1842</v>
      </c>
      <c r="AG991" t="s">
        <v>121</v>
      </c>
      <c r="AM991" t="s">
        <v>1843</v>
      </c>
      <c r="AO991" t="s">
        <v>439</v>
      </c>
      <c r="AQ991" t="s">
        <v>155</v>
      </c>
      <c r="AU991" t="s">
        <v>228</v>
      </c>
      <c r="AV991" t="s">
        <v>274</v>
      </c>
    </row>
    <row r="992" spans="1:48" x14ac:dyDescent="0.3">
      <c r="A992" t="s">
        <v>820</v>
      </c>
      <c r="C992" t="s">
        <v>821</v>
      </c>
      <c r="E992" t="s">
        <v>305</v>
      </c>
      <c r="G992" t="s">
        <v>1844</v>
      </c>
      <c r="R992" t="s">
        <v>763</v>
      </c>
      <c r="S992" t="s">
        <v>1845</v>
      </c>
      <c r="U992" t="s">
        <v>724</v>
      </c>
      <c r="Y992" t="s">
        <v>824</v>
      </c>
      <c r="AC992" t="s">
        <v>825</v>
      </c>
      <c r="AG992" t="s">
        <v>134</v>
      </c>
      <c r="AM992" t="s">
        <v>1846</v>
      </c>
      <c r="AO992" t="s">
        <v>445</v>
      </c>
      <c r="AQ992" t="s">
        <v>163</v>
      </c>
      <c r="AU992" t="s">
        <v>228</v>
      </c>
      <c r="AV992" t="s">
        <v>134</v>
      </c>
    </row>
    <row r="993" spans="1:48" x14ac:dyDescent="0.3">
      <c r="A993" t="s">
        <v>827</v>
      </c>
      <c r="C993" t="s">
        <v>1847</v>
      </c>
      <c r="E993" t="s">
        <v>460</v>
      </c>
      <c r="G993" t="s">
        <v>1848</v>
      </c>
      <c r="R993" t="s">
        <v>1849</v>
      </c>
      <c r="S993" t="s">
        <v>1850</v>
      </c>
      <c r="W993" t="s">
        <v>844</v>
      </c>
      <c r="AB993" t="s">
        <v>939</v>
      </c>
      <c r="AE993" t="s">
        <v>999</v>
      </c>
      <c r="AF993" t="s">
        <v>263</v>
      </c>
      <c r="AM993" t="s">
        <v>1851</v>
      </c>
      <c r="AO993" t="s">
        <v>215</v>
      </c>
      <c r="AQ993" t="s">
        <v>1033</v>
      </c>
      <c r="AU993" t="s">
        <v>70</v>
      </c>
      <c r="AV993" t="s">
        <v>134</v>
      </c>
    </row>
    <row r="994" spans="1:48" x14ac:dyDescent="0.3">
      <c r="A994" t="s">
        <v>835</v>
      </c>
      <c r="C994" t="s">
        <v>1852</v>
      </c>
      <c r="E994" t="s">
        <v>160</v>
      </c>
      <c r="G994" t="s">
        <v>1853</v>
      </c>
      <c r="R994" t="s">
        <v>1854</v>
      </c>
      <c r="S994" t="s">
        <v>1855</v>
      </c>
      <c r="W994" t="s">
        <v>1103</v>
      </c>
      <c r="AB994" t="s">
        <v>705</v>
      </c>
      <c r="AE994" t="s">
        <v>1856</v>
      </c>
      <c r="AF994" t="s">
        <v>134</v>
      </c>
      <c r="AM994" t="s">
        <v>1857</v>
      </c>
      <c r="AO994" t="s">
        <v>97</v>
      </c>
      <c r="AQ994" t="s">
        <v>486</v>
      </c>
      <c r="AU994" t="s">
        <v>70</v>
      </c>
      <c r="AV994" t="s">
        <v>147</v>
      </c>
    </row>
    <row r="995" spans="1:48" x14ac:dyDescent="0.3">
      <c r="A995" t="s">
        <v>839</v>
      </c>
      <c r="C995" t="s">
        <v>687</v>
      </c>
      <c r="E995" t="s">
        <v>524</v>
      </c>
      <c r="G995" t="s">
        <v>1858</v>
      </c>
      <c r="R995" t="s">
        <v>1859</v>
      </c>
      <c r="S995" t="s">
        <v>1860</v>
      </c>
      <c r="W995" t="s">
        <v>488</v>
      </c>
      <c r="AB995" t="s">
        <v>648</v>
      </c>
      <c r="AE995" t="s">
        <v>611</v>
      </c>
      <c r="AF995" t="s">
        <v>66</v>
      </c>
      <c r="AM995" t="s">
        <v>1861</v>
      </c>
      <c r="AO995" t="s">
        <v>194</v>
      </c>
      <c r="AQ995" t="s">
        <v>284</v>
      </c>
      <c r="AU995" t="s">
        <v>70</v>
      </c>
      <c r="AV995" t="s">
        <v>147</v>
      </c>
    </row>
    <row r="996" spans="1:48" x14ac:dyDescent="0.3">
      <c r="A996" t="s">
        <v>846</v>
      </c>
      <c r="C996" t="s">
        <v>1862</v>
      </c>
      <c r="E996" t="s">
        <v>727</v>
      </c>
      <c r="G996" t="s">
        <v>1863</v>
      </c>
      <c r="R996" t="s">
        <v>449</v>
      </c>
      <c r="S996" t="s">
        <v>1824</v>
      </c>
      <c r="W996" t="s">
        <v>1093</v>
      </c>
      <c r="AB996" t="s">
        <v>1864</v>
      </c>
      <c r="AE996" t="s">
        <v>1865</v>
      </c>
      <c r="AF996" t="s">
        <v>66</v>
      </c>
      <c r="AM996" t="s">
        <v>1866</v>
      </c>
      <c r="AO996" t="s">
        <v>367</v>
      </c>
      <c r="AQ996" t="s">
        <v>297</v>
      </c>
      <c r="AU996" t="s">
        <v>59</v>
      </c>
      <c r="AV996" t="s">
        <v>158</v>
      </c>
    </row>
    <row r="997" spans="1:48" x14ac:dyDescent="0.3">
      <c r="A997" t="s">
        <v>852</v>
      </c>
      <c r="C997" t="s">
        <v>1867</v>
      </c>
      <c r="E997" t="s">
        <v>727</v>
      </c>
      <c r="G997" t="s">
        <v>1868</v>
      </c>
      <c r="R997" t="s">
        <v>1839</v>
      </c>
      <c r="S997" t="s">
        <v>1869</v>
      </c>
      <c r="W997" t="s">
        <v>1093</v>
      </c>
      <c r="AB997" t="s">
        <v>1864</v>
      </c>
      <c r="AE997" t="s">
        <v>843</v>
      </c>
      <c r="AF997" t="s">
        <v>121</v>
      </c>
      <c r="AM997" t="s">
        <v>1870</v>
      </c>
      <c r="AO997" t="s">
        <v>1721</v>
      </c>
      <c r="AQ997" t="s">
        <v>460</v>
      </c>
      <c r="AU997" t="s">
        <v>172</v>
      </c>
      <c r="AV997" t="s">
        <v>147</v>
      </c>
    </row>
    <row r="998" spans="1:48" x14ac:dyDescent="0.3">
      <c r="A998" t="s">
        <v>856</v>
      </c>
      <c r="C998" t="s">
        <v>1871</v>
      </c>
      <c r="E998" t="s">
        <v>516</v>
      </c>
      <c r="G998" t="s">
        <v>1872</v>
      </c>
      <c r="R998" t="s">
        <v>1873</v>
      </c>
      <c r="S998" t="s">
        <v>1874</v>
      </c>
      <c r="U998" t="s">
        <v>1828</v>
      </c>
      <c r="Y998" t="s">
        <v>849</v>
      </c>
      <c r="AC998" t="s">
        <v>663</v>
      </c>
      <c r="AG998" t="s">
        <v>121</v>
      </c>
      <c r="AM998" t="s">
        <v>154</v>
      </c>
      <c r="AO998" t="s">
        <v>194</v>
      </c>
      <c r="AQ998" t="s">
        <v>97</v>
      </c>
      <c r="AU998" t="s">
        <v>172</v>
      </c>
      <c r="AV998" t="s">
        <v>71</v>
      </c>
    </row>
    <row r="999" spans="1:48" x14ac:dyDescent="0.3">
      <c r="A999" t="s">
        <v>860</v>
      </c>
      <c r="C999" t="s">
        <v>698</v>
      </c>
      <c r="E999" t="s">
        <v>698</v>
      </c>
      <c r="G999" t="s">
        <v>1573</v>
      </c>
      <c r="J999" t="s">
        <v>160</v>
      </c>
      <c r="L999" t="s">
        <v>160</v>
      </c>
      <c r="R999" t="s">
        <v>643</v>
      </c>
      <c r="S999" t="s">
        <v>1875</v>
      </c>
      <c r="U999" t="s">
        <v>531</v>
      </c>
      <c r="Y999" t="s">
        <v>1876</v>
      </c>
      <c r="AC999" t="s">
        <v>1876</v>
      </c>
      <c r="AG999" t="s">
        <v>121</v>
      </c>
      <c r="AM999" t="s">
        <v>1877</v>
      </c>
      <c r="AO999" t="s">
        <v>439</v>
      </c>
      <c r="AQ999" t="s">
        <v>439</v>
      </c>
      <c r="AU999" t="s">
        <v>172</v>
      </c>
      <c r="AV999" t="s">
        <v>133</v>
      </c>
    </row>
    <row r="1000" spans="1:48" x14ac:dyDescent="0.3">
      <c r="A1000" t="s">
        <v>864</v>
      </c>
      <c r="C1000" t="s">
        <v>1234</v>
      </c>
      <c r="E1000" t="s">
        <v>1234</v>
      </c>
      <c r="G1000" t="s">
        <v>1234</v>
      </c>
      <c r="J1000" t="s">
        <v>1234</v>
      </c>
      <c r="L1000" t="s">
        <v>1234</v>
      </c>
      <c r="R1000" t="s">
        <v>1234</v>
      </c>
      <c r="S1000" t="s">
        <v>1234</v>
      </c>
      <c r="U1000" t="s">
        <v>1234</v>
      </c>
      <c r="Y1000" t="s">
        <v>1234</v>
      </c>
      <c r="AC1000" t="s">
        <v>1234</v>
      </c>
      <c r="AG1000" t="s">
        <v>1234</v>
      </c>
      <c r="AM1000" t="s">
        <v>1234</v>
      </c>
      <c r="AO1000" t="s">
        <v>1234</v>
      </c>
      <c r="AQ1000" t="s">
        <v>1234</v>
      </c>
      <c r="AU1000" t="s">
        <v>1234</v>
      </c>
      <c r="AV1000" t="s">
        <v>1234</v>
      </c>
    </row>
    <row r="1001" spans="1:48" x14ac:dyDescent="0.3">
      <c r="A1001" t="s">
        <v>869</v>
      </c>
      <c r="C1001" t="s">
        <v>534</v>
      </c>
      <c r="E1001" t="s">
        <v>535</v>
      </c>
      <c r="G1001" t="s">
        <v>1872</v>
      </c>
      <c r="J1001" t="s">
        <v>729</v>
      </c>
      <c r="L1001" t="s">
        <v>327</v>
      </c>
      <c r="R1001" t="s">
        <v>1878</v>
      </c>
      <c r="S1001" t="s">
        <v>1879</v>
      </c>
      <c r="U1001" t="s">
        <v>107</v>
      </c>
      <c r="Y1001" t="s">
        <v>1880</v>
      </c>
      <c r="AC1001" t="s">
        <v>872</v>
      </c>
      <c r="AG1001" t="s">
        <v>90</v>
      </c>
      <c r="AM1001" t="s">
        <v>1881</v>
      </c>
      <c r="AO1001" t="s">
        <v>167</v>
      </c>
      <c r="AQ1001" t="s">
        <v>79</v>
      </c>
      <c r="AU1001" t="s">
        <v>70</v>
      </c>
      <c r="AV1001" t="s">
        <v>107</v>
      </c>
    </row>
    <row r="1002" spans="1:48" x14ac:dyDescent="0.3">
      <c r="A1002" t="s">
        <v>875</v>
      </c>
      <c r="C1002" t="s">
        <v>377</v>
      </c>
      <c r="E1002" t="s">
        <v>744</v>
      </c>
      <c r="G1002" t="s">
        <v>1882</v>
      </c>
      <c r="J1002" t="s">
        <v>443</v>
      </c>
      <c r="L1002" t="s">
        <v>877</v>
      </c>
      <c r="R1002" t="s">
        <v>1827</v>
      </c>
      <c r="S1002" t="s">
        <v>1883</v>
      </c>
      <c r="U1002" t="s">
        <v>121</v>
      </c>
      <c r="Y1002" t="s">
        <v>380</v>
      </c>
      <c r="AC1002" t="s">
        <v>878</v>
      </c>
      <c r="AG1002" t="s">
        <v>79</v>
      </c>
      <c r="AM1002" t="s">
        <v>1884</v>
      </c>
      <c r="AO1002" t="s">
        <v>880</v>
      </c>
      <c r="AQ1002" t="s">
        <v>881</v>
      </c>
      <c r="AU1002" t="s">
        <v>228</v>
      </c>
      <c r="AV1002" t="s">
        <v>133</v>
      </c>
    </row>
    <row r="1003" spans="1:48" x14ac:dyDescent="0.3">
      <c r="A1003" t="s">
        <v>883</v>
      </c>
      <c r="C1003" t="s">
        <v>727</v>
      </c>
      <c r="E1003" t="s">
        <v>534</v>
      </c>
      <c r="G1003" t="s">
        <v>1885</v>
      </c>
      <c r="J1003" t="s">
        <v>445</v>
      </c>
      <c r="L1003" t="s">
        <v>435</v>
      </c>
      <c r="R1003" t="s">
        <v>1886</v>
      </c>
      <c r="S1003" t="s">
        <v>1887</v>
      </c>
      <c r="U1003" t="s">
        <v>524</v>
      </c>
      <c r="Y1003" t="s">
        <v>885</v>
      </c>
      <c r="AC1003" t="s">
        <v>886</v>
      </c>
      <c r="AG1003" t="s">
        <v>90</v>
      </c>
      <c r="AM1003" t="s">
        <v>1888</v>
      </c>
      <c r="AO1003" t="s">
        <v>887</v>
      </c>
      <c r="AQ1003" t="s">
        <v>541</v>
      </c>
      <c r="AU1003" t="s">
        <v>70</v>
      </c>
      <c r="AV1003" t="s">
        <v>107</v>
      </c>
    </row>
    <row r="1004" spans="1:48" x14ac:dyDescent="0.3">
      <c r="A1004" t="s">
        <v>888</v>
      </c>
      <c r="C1004" t="s">
        <v>889</v>
      </c>
      <c r="E1004" t="s">
        <v>661</v>
      </c>
      <c r="G1004" t="s">
        <v>1889</v>
      </c>
      <c r="R1004" t="s">
        <v>1890</v>
      </c>
      <c r="S1004" t="s">
        <v>1669</v>
      </c>
      <c r="U1004" t="s">
        <v>1891</v>
      </c>
      <c r="Y1004" t="s">
        <v>1892</v>
      </c>
      <c r="AC1004" t="s">
        <v>892</v>
      </c>
      <c r="AG1004" t="s">
        <v>55</v>
      </c>
      <c r="AM1004" t="s">
        <v>1893</v>
      </c>
      <c r="AO1004" t="s">
        <v>194</v>
      </c>
      <c r="AQ1004" t="s">
        <v>136</v>
      </c>
      <c r="AU1004" t="s">
        <v>228</v>
      </c>
      <c r="AV1004" t="s">
        <v>71</v>
      </c>
    </row>
    <row r="1005" spans="1:48" x14ac:dyDescent="0.3">
      <c r="A1005" t="s">
        <v>894</v>
      </c>
      <c r="C1005" t="s">
        <v>1894</v>
      </c>
      <c r="E1005" t="s">
        <v>727</v>
      </c>
      <c r="G1005" t="s">
        <v>1895</v>
      </c>
      <c r="R1005" t="s">
        <v>1896</v>
      </c>
      <c r="S1005" t="s">
        <v>1897</v>
      </c>
      <c r="W1005" t="s">
        <v>1898</v>
      </c>
      <c r="AB1005" t="s">
        <v>1899</v>
      </c>
      <c r="AE1005" t="s">
        <v>1257</v>
      </c>
      <c r="AF1005" t="s">
        <v>66</v>
      </c>
      <c r="AM1005" t="s">
        <v>1900</v>
      </c>
      <c r="AO1005" t="s">
        <v>1466</v>
      </c>
      <c r="AQ1005" t="s">
        <v>521</v>
      </c>
      <c r="AU1005" t="s">
        <v>59</v>
      </c>
      <c r="AV1005" t="s">
        <v>94</v>
      </c>
    </row>
    <row r="1006" spans="1:48" x14ac:dyDescent="0.3">
      <c r="A1006" t="s">
        <v>902</v>
      </c>
      <c r="C1006" t="s">
        <v>727</v>
      </c>
      <c r="E1006" t="s">
        <v>727</v>
      </c>
      <c r="G1006" t="s">
        <v>1901</v>
      </c>
      <c r="R1006" t="s">
        <v>698</v>
      </c>
      <c r="S1006" t="s">
        <v>1902</v>
      </c>
      <c r="W1006" t="s">
        <v>1256</v>
      </c>
      <c r="AB1006" t="s">
        <v>1903</v>
      </c>
      <c r="AE1006" t="s">
        <v>1904</v>
      </c>
      <c r="AF1006" t="s">
        <v>263</v>
      </c>
      <c r="AM1006" t="s">
        <v>1905</v>
      </c>
      <c r="AO1006" t="s">
        <v>305</v>
      </c>
      <c r="AQ1006" t="s">
        <v>201</v>
      </c>
      <c r="AU1006" t="s">
        <v>228</v>
      </c>
      <c r="AV1006" t="s">
        <v>107</v>
      </c>
    </row>
    <row r="1007" spans="1:48" x14ac:dyDescent="0.3">
      <c r="A1007" t="s">
        <v>910</v>
      </c>
      <c r="C1007" t="s">
        <v>1234</v>
      </c>
      <c r="E1007" t="s">
        <v>1234</v>
      </c>
      <c r="G1007" t="s">
        <v>1234</v>
      </c>
      <c r="R1007" t="s">
        <v>1234</v>
      </c>
      <c r="S1007" t="s">
        <v>1234</v>
      </c>
      <c r="W1007" t="s">
        <v>1234</v>
      </c>
      <c r="AB1007" t="s">
        <v>1234</v>
      </c>
      <c r="AE1007" t="s">
        <v>1234</v>
      </c>
      <c r="AF1007" t="s">
        <v>1234</v>
      </c>
      <c r="AM1007" t="s">
        <v>1234</v>
      </c>
      <c r="AO1007" t="s">
        <v>1234</v>
      </c>
      <c r="AQ1007" t="s">
        <v>1234</v>
      </c>
      <c r="AU1007" t="s">
        <v>1234</v>
      </c>
      <c r="AV1007" t="s">
        <v>1234</v>
      </c>
    </row>
    <row r="1008" spans="1:48" x14ac:dyDescent="0.3">
      <c r="A1008" t="s">
        <v>915</v>
      </c>
      <c r="C1008" t="s">
        <v>1906</v>
      </c>
      <c r="E1008" t="s">
        <v>304</v>
      </c>
      <c r="G1008" t="s">
        <v>1907</v>
      </c>
      <c r="R1008" t="s">
        <v>1908</v>
      </c>
      <c r="S1008" t="s">
        <v>1909</v>
      </c>
      <c r="W1008" t="s">
        <v>84</v>
      </c>
      <c r="AB1008" t="s">
        <v>1910</v>
      </c>
      <c r="AE1008" t="s">
        <v>1911</v>
      </c>
      <c r="AF1008" t="s">
        <v>439</v>
      </c>
      <c r="AM1008" t="s">
        <v>1912</v>
      </c>
      <c r="AO1008" t="s">
        <v>133</v>
      </c>
      <c r="AQ1008" t="s">
        <v>439</v>
      </c>
      <c r="AU1008" t="s">
        <v>147</v>
      </c>
      <c r="AV1008" t="s">
        <v>133</v>
      </c>
    </row>
    <row r="1009" spans="1:48" x14ac:dyDescent="0.3">
      <c r="A1009" t="s">
        <v>921</v>
      </c>
      <c r="C1009" t="s">
        <v>1792</v>
      </c>
      <c r="E1009" t="s">
        <v>50</v>
      </c>
      <c r="G1009" t="s">
        <v>1913</v>
      </c>
      <c r="R1009" t="s">
        <v>1914</v>
      </c>
      <c r="S1009" t="s">
        <v>297</v>
      </c>
      <c r="W1009" t="s">
        <v>1915</v>
      </c>
      <c r="AB1009" t="s">
        <v>1083</v>
      </c>
      <c r="AE1009" t="s">
        <v>925</v>
      </c>
      <c r="AF1009" t="s">
        <v>79</v>
      </c>
      <c r="AM1009" t="s">
        <v>1916</v>
      </c>
      <c r="AO1009" t="s">
        <v>123</v>
      </c>
      <c r="AQ1009" t="s">
        <v>276</v>
      </c>
      <c r="AU1009" t="s">
        <v>70</v>
      </c>
      <c r="AV1009" t="s">
        <v>133</v>
      </c>
    </row>
    <row r="1010" spans="1:48" x14ac:dyDescent="0.3">
      <c r="A1010" t="s">
        <v>928</v>
      </c>
      <c r="C1010" t="s">
        <v>1917</v>
      </c>
      <c r="E1010" t="s">
        <v>298</v>
      </c>
      <c r="G1010" t="s">
        <v>1918</v>
      </c>
      <c r="R1010" t="s">
        <v>1919</v>
      </c>
      <c r="S1010" t="s">
        <v>1920</v>
      </c>
      <c r="U1010" t="s">
        <v>1921</v>
      </c>
      <c r="Y1010" t="s">
        <v>1922</v>
      </c>
      <c r="AC1010" t="s">
        <v>1923</v>
      </c>
      <c r="AG1010" t="s">
        <v>55</v>
      </c>
      <c r="AM1010" t="s">
        <v>1924</v>
      </c>
      <c r="AO1010" t="s">
        <v>284</v>
      </c>
      <c r="AQ1010" t="s">
        <v>172</v>
      </c>
      <c r="AU1010" t="s">
        <v>228</v>
      </c>
      <c r="AV1010" t="s">
        <v>133</v>
      </c>
    </row>
    <row r="1011" spans="1:48" x14ac:dyDescent="0.3">
      <c r="A1011" t="s">
        <v>936</v>
      </c>
      <c r="C1011" t="s">
        <v>554</v>
      </c>
      <c r="E1011" t="s">
        <v>554</v>
      </c>
      <c r="G1011" t="s">
        <v>814</v>
      </c>
      <c r="J1011" t="s">
        <v>445</v>
      </c>
      <c r="L1011" t="s">
        <v>445</v>
      </c>
      <c r="R1011" t="s">
        <v>1925</v>
      </c>
      <c r="S1011" t="s">
        <v>554</v>
      </c>
      <c r="U1011" t="s">
        <v>381</v>
      </c>
      <c r="Y1011" t="s">
        <v>638</v>
      </c>
      <c r="AC1011" t="s">
        <v>638</v>
      </c>
      <c r="AG1011" t="s">
        <v>206</v>
      </c>
      <c r="AM1011" t="s">
        <v>1253</v>
      </c>
      <c r="AO1011" t="s">
        <v>388</v>
      </c>
      <c r="AQ1011" t="s">
        <v>388</v>
      </c>
      <c r="AU1011" t="s">
        <v>147</v>
      </c>
      <c r="AV1011" t="s">
        <v>274</v>
      </c>
    </row>
    <row r="1012" spans="1:48" x14ac:dyDescent="0.3">
      <c r="A1012" t="s">
        <v>941</v>
      </c>
      <c r="C1012" t="s">
        <v>727</v>
      </c>
      <c r="E1012" t="s">
        <v>727</v>
      </c>
      <c r="G1012" t="s">
        <v>1926</v>
      </c>
      <c r="J1012" t="s">
        <v>284</v>
      </c>
      <c r="L1012" t="s">
        <v>284</v>
      </c>
      <c r="R1012" t="s">
        <v>1690</v>
      </c>
      <c r="S1012" t="s">
        <v>1690</v>
      </c>
      <c r="U1012" t="s">
        <v>1148</v>
      </c>
      <c r="Y1012" t="s">
        <v>1927</v>
      </c>
      <c r="AC1012" t="s">
        <v>1927</v>
      </c>
      <c r="AG1012" t="s">
        <v>134</v>
      </c>
      <c r="AM1012" t="s">
        <v>1928</v>
      </c>
      <c r="AO1012" t="s">
        <v>74</v>
      </c>
      <c r="AQ1012" t="s">
        <v>74</v>
      </c>
      <c r="AU1012" t="s">
        <v>71</v>
      </c>
      <c r="AV1012" t="s">
        <v>71</v>
      </c>
    </row>
    <row r="1013" spans="1:48" x14ac:dyDescent="0.3">
      <c r="A1013" t="s">
        <v>947</v>
      </c>
      <c r="C1013" t="s">
        <v>744</v>
      </c>
      <c r="E1013" t="s">
        <v>386</v>
      </c>
      <c r="G1013" t="s">
        <v>1929</v>
      </c>
      <c r="J1013" t="s">
        <v>871</v>
      </c>
      <c r="L1013" t="s">
        <v>949</v>
      </c>
      <c r="R1013" t="s">
        <v>1930</v>
      </c>
      <c r="S1013" t="s">
        <v>1931</v>
      </c>
      <c r="U1013" t="s">
        <v>1103</v>
      </c>
      <c r="Y1013" t="s">
        <v>1932</v>
      </c>
      <c r="AC1013" t="s">
        <v>951</v>
      </c>
      <c r="AG1013" t="s">
        <v>59</v>
      </c>
      <c r="AM1013" t="s">
        <v>1933</v>
      </c>
      <c r="AO1013" t="s">
        <v>770</v>
      </c>
      <c r="AQ1013" t="s">
        <v>311</v>
      </c>
      <c r="AU1013" t="s">
        <v>107</v>
      </c>
      <c r="AV1013" t="s">
        <v>134</v>
      </c>
    </row>
    <row r="1014" spans="1:48" x14ac:dyDescent="0.3">
      <c r="A1014" t="s">
        <v>953</v>
      </c>
      <c r="C1014" t="s">
        <v>661</v>
      </c>
      <c r="E1014" t="s">
        <v>377</v>
      </c>
      <c r="G1014" t="s">
        <v>1934</v>
      </c>
      <c r="J1014" t="s">
        <v>955</v>
      </c>
      <c r="L1014" t="s">
        <v>458</v>
      </c>
      <c r="R1014" t="s">
        <v>1935</v>
      </c>
      <c r="S1014" t="s">
        <v>540</v>
      </c>
      <c r="U1014" t="s">
        <v>1092</v>
      </c>
      <c r="Y1014" t="s">
        <v>655</v>
      </c>
      <c r="AC1014" t="s">
        <v>684</v>
      </c>
      <c r="AG1014" t="s">
        <v>63</v>
      </c>
      <c r="AM1014" t="s">
        <v>1936</v>
      </c>
      <c r="AO1014" t="s">
        <v>94</v>
      </c>
      <c r="AQ1014" t="s">
        <v>117</v>
      </c>
      <c r="AU1014" t="s">
        <v>71</v>
      </c>
      <c r="AV1014" t="s">
        <v>249</v>
      </c>
    </row>
    <row r="1015" spans="1:48" x14ac:dyDescent="0.3">
      <c r="A1015" t="s">
        <v>958</v>
      </c>
      <c r="C1015" t="s">
        <v>535</v>
      </c>
      <c r="E1015" t="s">
        <v>643</v>
      </c>
      <c r="G1015" t="s">
        <v>1937</v>
      </c>
      <c r="J1015" t="s">
        <v>489</v>
      </c>
      <c r="L1015" t="s">
        <v>960</v>
      </c>
      <c r="R1015" t="s">
        <v>1227</v>
      </c>
      <c r="S1015" t="s">
        <v>1938</v>
      </c>
      <c r="U1015" t="s">
        <v>429</v>
      </c>
      <c r="Y1015" t="s">
        <v>1865</v>
      </c>
      <c r="AC1015" t="s">
        <v>639</v>
      </c>
      <c r="AG1015" t="s">
        <v>63</v>
      </c>
      <c r="AM1015" t="s">
        <v>1939</v>
      </c>
      <c r="AO1015" t="s">
        <v>331</v>
      </c>
      <c r="AQ1015" t="s">
        <v>453</v>
      </c>
      <c r="AU1015" t="s">
        <v>228</v>
      </c>
      <c r="AV1015" t="s">
        <v>158</v>
      </c>
    </row>
    <row r="1016" spans="1:48" x14ac:dyDescent="0.3">
      <c r="A1016" t="s">
        <v>962</v>
      </c>
      <c r="C1016" t="s">
        <v>661</v>
      </c>
      <c r="E1016" t="s">
        <v>661</v>
      </c>
      <c r="G1016" t="s">
        <v>1940</v>
      </c>
      <c r="R1016" t="s">
        <v>1941</v>
      </c>
      <c r="S1016" t="s">
        <v>1942</v>
      </c>
      <c r="U1016" t="s">
        <v>381</v>
      </c>
      <c r="Y1016" t="s">
        <v>1202</v>
      </c>
      <c r="AC1016" t="s">
        <v>1943</v>
      </c>
      <c r="AG1016" t="s">
        <v>107</v>
      </c>
      <c r="AM1016" t="s">
        <v>1944</v>
      </c>
      <c r="AO1016" t="s">
        <v>117</v>
      </c>
      <c r="AQ1016" t="s">
        <v>180</v>
      </c>
      <c r="AU1016" t="s">
        <v>147</v>
      </c>
      <c r="AV1016" t="s">
        <v>60</v>
      </c>
    </row>
    <row r="1017" spans="1:48" x14ac:dyDescent="0.3">
      <c r="A1017" t="s">
        <v>968</v>
      </c>
      <c r="C1017" t="s">
        <v>853</v>
      </c>
      <c r="E1017" t="s">
        <v>535</v>
      </c>
      <c r="G1017" t="s">
        <v>1945</v>
      </c>
      <c r="R1017" t="s">
        <v>1946</v>
      </c>
      <c r="S1017" t="s">
        <v>1878</v>
      </c>
      <c r="W1017" t="s">
        <v>380</v>
      </c>
      <c r="AB1017" t="s">
        <v>1864</v>
      </c>
      <c r="AE1017" t="s">
        <v>611</v>
      </c>
      <c r="AF1017" t="s">
        <v>71</v>
      </c>
      <c r="AM1017" t="s">
        <v>1947</v>
      </c>
      <c r="AO1017" t="s">
        <v>301</v>
      </c>
      <c r="AQ1017" t="s">
        <v>276</v>
      </c>
      <c r="AU1017" t="s">
        <v>228</v>
      </c>
      <c r="AV1017" t="s">
        <v>133</v>
      </c>
    </row>
    <row r="1018" spans="1:48" x14ac:dyDescent="0.3">
      <c r="A1018" t="s">
        <v>972</v>
      </c>
      <c r="C1018" t="s">
        <v>49</v>
      </c>
      <c r="E1018" t="s">
        <v>298</v>
      </c>
      <c r="G1018" t="s">
        <v>1092</v>
      </c>
      <c r="R1018" t="s">
        <v>1228</v>
      </c>
      <c r="S1018" t="s">
        <v>548</v>
      </c>
      <c r="W1018" t="s">
        <v>52</v>
      </c>
      <c r="AB1018" t="s">
        <v>1864</v>
      </c>
      <c r="AE1018" t="s">
        <v>1753</v>
      </c>
      <c r="AF1018" t="s">
        <v>301</v>
      </c>
      <c r="AM1018" t="s">
        <v>459</v>
      </c>
      <c r="AO1018" t="s">
        <v>331</v>
      </c>
      <c r="AQ1018" t="s">
        <v>155</v>
      </c>
      <c r="AU1018" t="s">
        <v>228</v>
      </c>
      <c r="AV1018" t="s">
        <v>228</v>
      </c>
    </row>
    <row r="1019" spans="1:48" x14ac:dyDescent="0.3">
      <c r="A1019" t="s">
        <v>978</v>
      </c>
      <c r="C1019" t="s">
        <v>304</v>
      </c>
      <c r="E1019" t="s">
        <v>96</v>
      </c>
      <c r="G1019" t="s">
        <v>1948</v>
      </c>
      <c r="R1019" t="s">
        <v>1103</v>
      </c>
      <c r="S1019" t="s">
        <v>110</v>
      </c>
      <c r="W1019" t="s">
        <v>1949</v>
      </c>
      <c r="AB1019" t="s">
        <v>488</v>
      </c>
      <c r="AE1019" t="s">
        <v>710</v>
      </c>
      <c r="AF1019" t="s">
        <v>123</v>
      </c>
      <c r="AM1019" t="s">
        <v>1950</v>
      </c>
      <c r="AO1019" t="s">
        <v>521</v>
      </c>
      <c r="AQ1019" t="s">
        <v>59</v>
      </c>
      <c r="AU1019" t="s">
        <v>70</v>
      </c>
      <c r="AV1019" t="s">
        <v>147</v>
      </c>
    </row>
    <row r="1020" spans="1:48" x14ac:dyDescent="0.3">
      <c r="A1020" t="s">
        <v>983</v>
      </c>
      <c r="C1020" t="s">
        <v>1951</v>
      </c>
      <c r="E1020" t="s">
        <v>304</v>
      </c>
      <c r="G1020" t="s">
        <v>1952</v>
      </c>
      <c r="R1020" t="s">
        <v>1953</v>
      </c>
      <c r="S1020" t="s">
        <v>1954</v>
      </c>
      <c r="W1020" t="s">
        <v>488</v>
      </c>
      <c r="AB1020" t="s">
        <v>849</v>
      </c>
      <c r="AE1020" t="s">
        <v>1758</v>
      </c>
      <c r="AF1020" t="s">
        <v>123</v>
      </c>
      <c r="AM1020" t="s">
        <v>1955</v>
      </c>
      <c r="AO1020" t="s">
        <v>71</v>
      </c>
      <c r="AQ1020" t="s">
        <v>56</v>
      </c>
      <c r="AU1020" t="s">
        <v>70</v>
      </c>
      <c r="AV1020" t="s">
        <v>228</v>
      </c>
    </row>
    <row r="1021" spans="1:48" x14ac:dyDescent="0.3">
      <c r="A1021" t="s">
        <v>987</v>
      </c>
      <c r="C1021" t="s">
        <v>1234</v>
      </c>
      <c r="E1021" t="s">
        <v>1234</v>
      </c>
      <c r="G1021" t="s">
        <v>1234</v>
      </c>
      <c r="R1021" t="s">
        <v>1234</v>
      </c>
      <c r="S1021" t="s">
        <v>1234</v>
      </c>
      <c r="W1021" t="s">
        <v>1234</v>
      </c>
      <c r="AB1021" t="s">
        <v>1234</v>
      </c>
      <c r="AE1021" t="s">
        <v>1234</v>
      </c>
      <c r="AF1021" t="s">
        <v>1234</v>
      </c>
      <c r="AM1021" t="s">
        <v>1234</v>
      </c>
      <c r="AO1021" t="s">
        <v>1234</v>
      </c>
      <c r="AQ1021" t="s">
        <v>1234</v>
      </c>
      <c r="AU1021" t="s">
        <v>1234</v>
      </c>
      <c r="AV1021" t="s">
        <v>1234</v>
      </c>
    </row>
    <row r="1022" spans="1:48" x14ac:dyDescent="0.3">
      <c r="A1022" t="s">
        <v>991</v>
      </c>
      <c r="C1022" t="s">
        <v>727</v>
      </c>
      <c r="E1022" t="s">
        <v>727</v>
      </c>
      <c r="G1022" t="s">
        <v>1956</v>
      </c>
      <c r="R1022" t="s">
        <v>973</v>
      </c>
      <c r="S1022" t="s">
        <v>297</v>
      </c>
      <c r="U1022" t="s">
        <v>386</v>
      </c>
      <c r="Y1022" t="s">
        <v>549</v>
      </c>
      <c r="AC1022" t="s">
        <v>1747</v>
      </c>
      <c r="AG1022" t="s">
        <v>158</v>
      </c>
      <c r="AM1022" t="s">
        <v>1957</v>
      </c>
      <c r="AO1022" t="s">
        <v>531</v>
      </c>
      <c r="AQ1022" t="s">
        <v>793</v>
      </c>
      <c r="AU1022" t="s">
        <v>172</v>
      </c>
      <c r="AV1022" t="s">
        <v>107</v>
      </c>
    </row>
    <row r="1023" spans="1:48" x14ac:dyDescent="0.3">
      <c r="A1023" t="s">
        <v>996</v>
      </c>
      <c r="C1023" t="s">
        <v>524</v>
      </c>
      <c r="E1023" t="s">
        <v>554</v>
      </c>
      <c r="G1023" t="s">
        <v>1958</v>
      </c>
      <c r="J1023" t="s">
        <v>172</v>
      </c>
      <c r="L1023" t="s">
        <v>445</v>
      </c>
      <c r="R1023" t="s">
        <v>1827</v>
      </c>
      <c r="S1023" t="s">
        <v>297</v>
      </c>
      <c r="U1023" t="s">
        <v>710</v>
      </c>
      <c r="Y1023" t="s">
        <v>939</v>
      </c>
      <c r="AC1023" t="s">
        <v>1959</v>
      </c>
      <c r="AG1023" t="s">
        <v>228</v>
      </c>
      <c r="AM1023" t="s">
        <v>1960</v>
      </c>
      <c r="AO1023" t="s">
        <v>486</v>
      </c>
      <c r="AQ1023" t="s">
        <v>714</v>
      </c>
      <c r="AU1023" t="s">
        <v>228</v>
      </c>
      <c r="AV1023" t="s">
        <v>147</v>
      </c>
    </row>
    <row r="1024" spans="1:48" x14ac:dyDescent="0.3">
      <c r="A1024" t="s">
        <v>1001</v>
      </c>
      <c r="C1024" t="s">
        <v>1920</v>
      </c>
      <c r="E1024" t="s">
        <v>1961</v>
      </c>
      <c r="G1024" t="s">
        <v>1962</v>
      </c>
      <c r="J1024" t="s">
        <v>1142</v>
      </c>
      <c r="L1024" t="s">
        <v>1005</v>
      </c>
      <c r="R1024" t="s">
        <v>1963</v>
      </c>
      <c r="S1024" t="s">
        <v>297</v>
      </c>
      <c r="U1024" t="s">
        <v>981</v>
      </c>
      <c r="Y1024" t="s">
        <v>638</v>
      </c>
      <c r="AC1024" t="s">
        <v>638</v>
      </c>
      <c r="AG1024" t="s">
        <v>147</v>
      </c>
      <c r="AM1024" t="s">
        <v>1964</v>
      </c>
      <c r="AO1024" t="s">
        <v>1965</v>
      </c>
      <c r="AQ1024" t="s">
        <v>133</v>
      </c>
      <c r="AU1024" t="s">
        <v>741</v>
      </c>
      <c r="AV1024" t="s">
        <v>1966</v>
      </c>
    </row>
    <row r="1025" spans="1:48" x14ac:dyDescent="0.3">
      <c r="A1025" t="s">
        <v>1011</v>
      </c>
      <c r="C1025" t="s">
        <v>313</v>
      </c>
      <c r="E1025" t="s">
        <v>313</v>
      </c>
      <c r="G1025" t="s">
        <v>1967</v>
      </c>
      <c r="J1025" t="s">
        <v>1968</v>
      </c>
      <c r="L1025" t="s">
        <v>219</v>
      </c>
      <c r="R1025" t="s">
        <v>297</v>
      </c>
      <c r="S1025" t="s">
        <v>297</v>
      </c>
      <c r="U1025" t="s">
        <v>1969</v>
      </c>
      <c r="Y1025" t="s">
        <v>439</v>
      </c>
      <c r="AC1025" t="s">
        <v>439</v>
      </c>
      <c r="AG1025" t="s">
        <v>70</v>
      </c>
      <c r="AM1025" t="s">
        <v>1970</v>
      </c>
      <c r="AO1025" t="s">
        <v>1121</v>
      </c>
      <c r="AQ1025" t="s">
        <v>1121</v>
      </c>
      <c r="AU1025" t="s">
        <v>107</v>
      </c>
      <c r="AV1025" t="s">
        <v>133</v>
      </c>
    </row>
    <row r="1026" spans="1:48" x14ac:dyDescent="0.3">
      <c r="A1026" t="s">
        <v>1018</v>
      </c>
      <c r="C1026" t="s">
        <v>84</v>
      </c>
      <c r="E1026" t="s">
        <v>177</v>
      </c>
      <c r="G1026" t="s">
        <v>1971</v>
      </c>
      <c r="J1026" t="s">
        <v>712</v>
      </c>
      <c r="L1026" t="s">
        <v>1020</v>
      </c>
      <c r="R1026" t="s">
        <v>378</v>
      </c>
      <c r="S1026" t="s">
        <v>297</v>
      </c>
      <c r="U1026" t="s">
        <v>305</v>
      </c>
      <c r="Y1026" t="s">
        <v>1779</v>
      </c>
      <c r="AC1026" t="s">
        <v>1972</v>
      </c>
      <c r="AG1026" t="s">
        <v>300</v>
      </c>
      <c r="AM1026" t="s">
        <v>1973</v>
      </c>
      <c r="AO1026" t="s">
        <v>1974</v>
      </c>
      <c r="AQ1026" t="s">
        <v>1975</v>
      </c>
      <c r="AU1026" t="s">
        <v>1026</v>
      </c>
      <c r="AV1026" t="s">
        <v>1976</v>
      </c>
    </row>
    <row r="1027" spans="1:48" x14ac:dyDescent="0.3">
      <c r="A1027" t="s">
        <v>1028</v>
      </c>
      <c r="C1027" t="s">
        <v>298</v>
      </c>
      <c r="E1027" t="s">
        <v>298</v>
      </c>
      <c r="G1027" t="s">
        <v>1977</v>
      </c>
      <c r="J1027" t="s">
        <v>138</v>
      </c>
      <c r="L1027" t="s">
        <v>1030</v>
      </c>
      <c r="R1027" t="s">
        <v>1978</v>
      </c>
      <c r="S1027" t="s">
        <v>1979</v>
      </c>
      <c r="U1027" t="s">
        <v>440</v>
      </c>
      <c r="Y1027" t="s">
        <v>1980</v>
      </c>
      <c r="AC1027" t="s">
        <v>1981</v>
      </c>
      <c r="AG1027" t="s">
        <v>134</v>
      </c>
      <c r="AM1027" t="s">
        <v>1982</v>
      </c>
      <c r="AO1027" t="s">
        <v>881</v>
      </c>
      <c r="AQ1027" t="s">
        <v>1033</v>
      </c>
      <c r="AU1027" t="s">
        <v>70</v>
      </c>
      <c r="AV1027" t="s">
        <v>71</v>
      </c>
    </row>
    <row r="1028" spans="1:48" x14ac:dyDescent="0.3">
      <c r="A1028" t="s">
        <v>1035</v>
      </c>
      <c r="C1028" t="s">
        <v>643</v>
      </c>
      <c r="E1028" t="s">
        <v>643</v>
      </c>
      <c r="G1028" t="s">
        <v>1621</v>
      </c>
      <c r="R1028" t="s">
        <v>1148</v>
      </c>
      <c r="S1028" t="s">
        <v>304</v>
      </c>
      <c r="U1028" t="s">
        <v>1983</v>
      </c>
      <c r="Y1028" t="s">
        <v>539</v>
      </c>
      <c r="AC1028" t="s">
        <v>539</v>
      </c>
      <c r="AG1028" t="s">
        <v>391</v>
      </c>
      <c r="AM1028" t="s">
        <v>1984</v>
      </c>
      <c r="AO1028" t="s">
        <v>70</v>
      </c>
      <c r="AQ1028" t="s">
        <v>70</v>
      </c>
      <c r="AU1028" t="s">
        <v>147</v>
      </c>
      <c r="AV1028" t="s">
        <v>71</v>
      </c>
    </row>
    <row r="1029" spans="1:48" x14ac:dyDescent="0.3">
      <c r="A1029" t="s">
        <v>1039</v>
      </c>
      <c r="C1029" t="s">
        <v>553</v>
      </c>
      <c r="E1029" t="s">
        <v>368</v>
      </c>
      <c r="G1029" t="s">
        <v>1985</v>
      </c>
      <c r="R1029" t="s">
        <v>368</v>
      </c>
      <c r="S1029" t="s">
        <v>304</v>
      </c>
      <c r="W1029" t="s">
        <v>1986</v>
      </c>
      <c r="AB1029" t="s">
        <v>539</v>
      </c>
      <c r="AE1029" t="s">
        <v>539</v>
      </c>
      <c r="AF1029" t="s">
        <v>301</v>
      </c>
      <c r="AM1029" t="s">
        <v>1987</v>
      </c>
      <c r="AO1029" t="s">
        <v>94</v>
      </c>
      <c r="AQ1029" t="s">
        <v>391</v>
      </c>
      <c r="AU1029" t="s">
        <v>147</v>
      </c>
      <c r="AV1029" t="s">
        <v>107</v>
      </c>
    </row>
    <row r="1030" spans="1:48" x14ac:dyDescent="0.3">
      <c r="A1030" t="s">
        <v>1046</v>
      </c>
      <c r="C1030" t="s">
        <v>1234</v>
      </c>
      <c r="E1030" t="s">
        <v>1234</v>
      </c>
      <c r="G1030" t="s">
        <v>1234</v>
      </c>
      <c r="R1030" t="s">
        <v>1234</v>
      </c>
      <c r="S1030" t="s">
        <v>1234</v>
      </c>
      <c r="W1030" t="s">
        <v>1234</v>
      </c>
      <c r="AB1030" t="s">
        <v>1234</v>
      </c>
      <c r="AE1030" t="s">
        <v>1234</v>
      </c>
      <c r="AF1030" t="s">
        <v>1234</v>
      </c>
      <c r="AM1030" t="s">
        <v>1234</v>
      </c>
      <c r="AO1030" t="s">
        <v>1234</v>
      </c>
      <c r="AQ1030" t="s">
        <v>1234</v>
      </c>
      <c r="AU1030" t="s">
        <v>1234</v>
      </c>
      <c r="AV1030" t="s">
        <v>1234</v>
      </c>
    </row>
    <row r="1031" spans="1:48" x14ac:dyDescent="0.3">
      <c r="A1031" t="s">
        <v>1052</v>
      </c>
      <c r="C1031" t="s">
        <v>73</v>
      </c>
      <c r="E1031" t="s">
        <v>62</v>
      </c>
      <c r="G1031" t="s">
        <v>1988</v>
      </c>
      <c r="R1031" t="s">
        <v>304</v>
      </c>
      <c r="S1031" t="s">
        <v>73</v>
      </c>
      <c r="W1031" t="s">
        <v>1989</v>
      </c>
      <c r="AB1031" t="s">
        <v>1103</v>
      </c>
      <c r="AE1031" t="s">
        <v>368</v>
      </c>
      <c r="AF1031" t="s">
        <v>134</v>
      </c>
      <c r="AM1031" t="s">
        <v>1990</v>
      </c>
      <c r="AO1031" t="s">
        <v>770</v>
      </c>
      <c r="AQ1031" t="s">
        <v>1252</v>
      </c>
      <c r="AU1031" t="s">
        <v>70</v>
      </c>
      <c r="AV1031" t="s">
        <v>107</v>
      </c>
    </row>
    <row r="1032" spans="1:48" x14ac:dyDescent="0.3">
      <c r="A1032" t="s">
        <v>1059</v>
      </c>
      <c r="C1032" t="s">
        <v>167</v>
      </c>
      <c r="E1032" t="s">
        <v>167</v>
      </c>
      <c r="G1032" t="s">
        <v>1991</v>
      </c>
      <c r="R1032" t="s">
        <v>756</v>
      </c>
      <c r="S1032" t="s">
        <v>471</v>
      </c>
      <c r="W1032" t="s">
        <v>1992</v>
      </c>
      <c r="AB1032" t="s">
        <v>381</v>
      </c>
      <c r="AE1032" t="s">
        <v>381</v>
      </c>
      <c r="AF1032" t="s">
        <v>117</v>
      </c>
      <c r="AM1032" t="s">
        <v>1186</v>
      </c>
      <c r="AO1032" t="s">
        <v>770</v>
      </c>
      <c r="AQ1032" t="s">
        <v>446</v>
      </c>
      <c r="AU1032" t="s">
        <v>172</v>
      </c>
      <c r="AV1032" t="s">
        <v>133</v>
      </c>
    </row>
    <row r="1033" spans="1:48" x14ac:dyDescent="0.3">
      <c r="A1033" t="s">
        <v>1064</v>
      </c>
      <c r="C1033" t="s">
        <v>1234</v>
      </c>
      <c r="E1033" t="s">
        <v>1234</v>
      </c>
      <c r="G1033" t="s">
        <v>1234</v>
      </c>
      <c r="R1033" t="s">
        <v>1234</v>
      </c>
      <c r="S1033" t="s">
        <v>1234</v>
      </c>
      <c r="W1033" t="s">
        <v>1234</v>
      </c>
      <c r="AB1033" t="s">
        <v>1234</v>
      </c>
      <c r="AE1033" t="s">
        <v>1234</v>
      </c>
      <c r="AF1033" t="s">
        <v>1234</v>
      </c>
      <c r="AM1033" t="s">
        <v>1234</v>
      </c>
      <c r="AO1033" t="s">
        <v>1234</v>
      </c>
      <c r="AQ1033" t="s">
        <v>1234</v>
      </c>
      <c r="AU1033" t="s">
        <v>1234</v>
      </c>
      <c r="AV1033" t="s">
        <v>1234</v>
      </c>
    </row>
    <row r="1034" spans="1:48" x14ac:dyDescent="0.3">
      <c r="A1034" t="s">
        <v>1069</v>
      </c>
      <c r="C1034" t="s">
        <v>167</v>
      </c>
      <c r="E1034" t="s">
        <v>73</v>
      </c>
      <c r="G1034" t="s">
        <v>1993</v>
      </c>
      <c r="R1034" t="s">
        <v>386</v>
      </c>
      <c r="S1034" t="s">
        <v>305</v>
      </c>
      <c r="U1034" t="s">
        <v>459</v>
      </c>
      <c r="Y1034" t="s">
        <v>548</v>
      </c>
      <c r="AC1034" t="s">
        <v>1224</v>
      </c>
      <c r="AG1034" t="s">
        <v>439</v>
      </c>
      <c r="AM1034" t="s">
        <v>1994</v>
      </c>
      <c r="AO1034" t="s">
        <v>264</v>
      </c>
      <c r="AQ1034" t="s">
        <v>810</v>
      </c>
      <c r="AU1034" t="s">
        <v>172</v>
      </c>
      <c r="AV1034" t="s">
        <v>147</v>
      </c>
    </row>
    <row r="1035" spans="1:48" x14ac:dyDescent="0.3">
      <c r="A1035" t="s">
        <v>1073</v>
      </c>
      <c r="C1035" t="s">
        <v>73</v>
      </c>
      <c r="E1035" t="s">
        <v>194</v>
      </c>
      <c r="G1035" t="s">
        <v>1995</v>
      </c>
      <c r="J1035" t="s">
        <v>307</v>
      </c>
      <c r="L1035" t="s">
        <v>443</v>
      </c>
      <c r="R1035" t="s">
        <v>553</v>
      </c>
      <c r="S1035" t="s">
        <v>49</v>
      </c>
      <c r="U1035" t="s">
        <v>160</v>
      </c>
      <c r="Y1035" t="s">
        <v>429</v>
      </c>
      <c r="AC1035" t="s">
        <v>1996</v>
      </c>
      <c r="AG1035" t="s">
        <v>63</v>
      </c>
      <c r="AM1035" t="s">
        <v>1997</v>
      </c>
      <c r="AO1035" t="s">
        <v>294</v>
      </c>
      <c r="AQ1035" t="s">
        <v>745</v>
      </c>
      <c r="AU1035" t="s">
        <v>172</v>
      </c>
      <c r="AV1035" t="s">
        <v>107</v>
      </c>
    </row>
    <row r="1036" spans="1:48" x14ac:dyDescent="0.3">
      <c r="A1036" t="s">
        <v>1079</v>
      </c>
      <c r="C1036" t="s">
        <v>304</v>
      </c>
      <c r="E1036" t="s">
        <v>50</v>
      </c>
      <c r="G1036" t="s">
        <v>1998</v>
      </c>
      <c r="J1036" t="s">
        <v>67</v>
      </c>
      <c r="L1036" t="s">
        <v>1599</v>
      </c>
      <c r="R1036" t="s">
        <v>525</v>
      </c>
      <c r="S1036" t="s">
        <v>304</v>
      </c>
      <c r="U1036" t="s">
        <v>1618</v>
      </c>
      <c r="Y1036" t="s">
        <v>1618</v>
      </c>
      <c r="AC1036" t="s">
        <v>1083</v>
      </c>
      <c r="AG1036" t="s">
        <v>55</v>
      </c>
      <c r="AM1036" t="s">
        <v>1999</v>
      </c>
      <c r="AO1036" t="s">
        <v>440</v>
      </c>
      <c r="AQ1036" t="s">
        <v>307</v>
      </c>
      <c r="AU1036" t="s">
        <v>172</v>
      </c>
      <c r="AV1036" t="s">
        <v>107</v>
      </c>
    </row>
    <row r="1037" spans="1:48" x14ac:dyDescent="0.3">
      <c r="A1037" t="s">
        <v>1084</v>
      </c>
      <c r="C1037" t="s">
        <v>386</v>
      </c>
      <c r="E1037" t="s">
        <v>298</v>
      </c>
      <c r="G1037" t="s">
        <v>2000</v>
      </c>
      <c r="J1037" t="s">
        <v>712</v>
      </c>
      <c r="L1037" t="s">
        <v>1005</v>
      </c>
      <c r="R1037" t="s">
        <v>449</v>
      </c>
      <c r="S1037" t="s">
        <v>297</v>
      </c>
      <c r="U1037" t="s">
        <v>1627</v>
      </c>
      <c r="Y1037" t="s">
        <v>1086</v>
      </c>
      <c r="AC1037" t="s">
        <v>548</v>
      </c>
      <c r="AG1037" t="s">
        <v>117</v>
      </c>
      <c r="AM1037" t="s">
        <v>2001</v>
      </c>
      <c r="AO1037" t="s">
        <v>307</v>
      </c>
      <c r="AQ1037" t="s">
        <v>294</v>
      </c>
      <c r="AU1037" t="s">
        <v>70</v>
      </c>
      <c r="AV1037" t="s">
        <v>60</v>
      </c>
    </row>
    <row r="1038" spans="1:48" x14ac:dyDescent="0.3">
      <c r="A1038" t="s">
        <v>1089</v>
      </c>
      <c r="C1038" t="s">
        <v>553</v>
      </c>
      <c r="E1038" t="s">
        <v>49</v>
      </c>
      <c r="G1038" t="s">
        <v>2002</v>
      </c>
      <c r="J1038" t="s">
        <v>1949</v>
      </c>
      <c r="L1038" t="s">
        <v>1091</v>
      </c>
      <c r="R1038" t="s">
        <v>449</v>
      </c>
      <c r="S1038" t="s">
        <v>297</v>
      </c>
      <c r="U1038" t="s">
        <v>1147</v>
      </c>
      <c r="Y1038" t="s">
        <v>638</v>
      </c>
      <c r="AC1038" t="s">
        <v>575</v>
      </c>
      <c r="AG1038" t="s">
        <v>134</v>
      </c>
      <c r="AM1038" t="s">
        <v>2003</v>
      </c>
      <c r="AO1038" t="s">
        <v>94</v>
      </c>
      <c r="AQ1038" t="s">
        <v>383</v>
      </c>
      <c r="AU1038" t="s">
        <v>172</v>
      </c>
      <c r="AV1038" t="s">
        <v>71</v>
      </c>
    </row>
    <row r="1039" spans="1:48" x14ac:dyDescent="0.3">
      <c r="A1039" t="s">
        <v>1095</v>
      </c>
      <c r="C1039" t="s">
        <v>643</v>
      </c>
      <c r="E1039" t="s">
        <v>643</v>
      </c>
      <c r="G1039" t="s">
        <v>1108</v>
      </c>
      <c r="J1039" t="s">
        <v>1599</v>
      </c>
      <c r="L1039" t="s">
        <v>2004</v>
      </c>
      <c r="R1039" t="s">
        <v>643</v>
      </c>
      <c r="S1039" t="s">
        <v>471</v>
      </c>
      <c r="U1039" t="s">
        <v>1147</v>
      </c>
      <c r="Y1039" t="s">
        <v>575</v>
      </c>
      <c r="AC1039" t="s">
        <v>575</v>
      </c>
      <c r="AG1039" t="s">
        <v>263</v>
      </c>
      <c r="AM1039" t="s">
        <v>2005</v>
      </c>
      <c r="AO1039" t="s">
        <v>521</v>
      </c>
      <c r="AQ1039" t="s">
        <v>521</v>
      </c>
      <c r="AU1039" t="s">
        <v>107</v>
      </c>
      <c r="AV1039" t="s">
        <v>107</v>
      </c>
    </row>
    <row r="1040" spans="1:48" x14ac:dyDescent="0.3">
      <c r="A1040" t="s">
        <v>1101</v>
      </c>
      <c r="C1040" t="s">
        <v>525</v>
      </c>
      <c r="E1040" t="s">
        <v>386</v>
      </c>
      <c r="G1040" t="s">
        <v>449</v>
      </c>
      <c r="R1040" t="s">
        <v>809</v>
      </c>
      <c r="S1040" t="s">
        <v>844</v>
      </c>
      <c r="U1040" t="s">
        <v>643</v>
      </c>
      <c r="Y1040" t="s">
        <v>381</v>
      </c>
      <c r="AC1040" t="s">
        <v>1148</v>
      </c>
      <c r="AG1040" t="s">
        <v>228</v>
      </c>
      <c r="AM1040" t="s">
        <v>439</v>
      </c>
      <c r="AO1040" t="s">
        <v>55</v>
      </c>
      <c r="AQ1040" t="s">
        <v>71</v>
      </c>
      <c r="AU1040" t="s">
        <v>172</v>
      </c>
      <c r="AV1040" t="s">
        <v>107</v>
      </c>
    </row>
    <row r="1041" spans="1:48" x14ac:dyDescent="0.3">
      <c r="A1041" t="s">
        <v>1106</v>
      </c>
      <c r="C1041" t="s">
        <v>460</v>
      </c>
      <c r="E1041" t="s">
        <v>570</v>
      </c>
      <c r="G1041" t="s">
        <v>207</v>
      </c>
      <c r="R1041" t="s">
        <v>1828</v>
      </c>
      <c r="S1041" t="s">
        <v>471</v>
      </c>
      <c r="W1041" t="s">
        <v>97</v>
      </c>
      <c r="AB1041" t="s">
        <v>1092</v>
      </c>
      <c r="AE1041" t="s">
        <v>1627</v>
      </c>
      <c r="AF1041" t="s">
        <v>482</v>
      </c>
      <c r="AM1041" t="s">
        <v>2006</v>
      </c>
      <c r="AO1041" t="s">
        <v>321</v>
      </c>
      <c r="AQ1041" t="s">
        <v>357</v>
      </c>
      <c r="AU1041" t="s">
        <v>70</v>
      </c>
      <c r="AV1041" t="s">
        <v>71</v>
      </c>
    </row>
    <row r="1042" spans="1:48" x14ac:dyDescent="0.3">
      <c r="A1042" t="s">
        <v>1110</v>
      </c>
      <c r="C1042" t="s">
        <v>570</v>
      </c>
      <c r="E1042" t="s">
        <v>172</v>
      </c>
      <c r="G1042" t="s">
        <v>488</v>
      </c>
      <c r="R1042" t="s">
        <v>1228</v>
      </c>
      <c r="S1042" t="s">
        <v>638</v>
      </c>
      <c r="W1042" t="s">
        <v>1224</v>
      </c>
      <c r="AB1042" t="s">
        <v>430</v>
      </c>
      <c r="AE1042" t="s">
        <v>1098</v>
      </c>
      <c r="AF1042" t="s">
        <v>172</v>
      </c>
      <c r="AM1042" t="s">
        <v>698</v>
      </c>
      <c r="AO1042" t="s">
        <v>1071</v>
      </c>
      <c r="AQ1042" t="s">
        <v>1114</v>
      </c>
      <c r="AU1042" t="s">
        <v>1116</v>
      </c>
      <c r="AV1042" t="s">
        <v>107</v>
      </c>
    </row>
    <row r="1043" spans="1:48" x14ac:dyDescent="0.3">
      <c r="A1043" t="s">
        <v>1117</v>
      </c>
      <c r="C1043" t="s">
        <v>74</v>
      </c>
      <c r="E1043" t="s">
        <v>707</v>
      </c>
      <c r="G1043" t="s">
        <v>453</v>
      </c>
      <c r="R1043" t="s">
        <v>380</v>
      </c>
      <c r="S1043" t="s">
        <v>297</v>
      </c>
      <c r="W1043" t="s">
        <v>525</v>
      </c>
      <c r="AB1043" t="s">
        <v>1098</v>
      </c>
      <c r="AE1043" t="s">
        <v>363</v>
      </c>
      <c r="AF1043" t="s">
        <v>90</v>
      </c>
      <c r="AM1043" t="s">
        <v>2007</v>
      </c>
      <c r="AO1043" t="s">
        <v>1121</v>
      </c>
      <c r="AQ1043" t="s">
        <v>211</v>
      </c>
      <c r="AU1043" t="s">
        <v>55</v>
      </c>
      <c r="AV1043" t="s">
        <v>107</v>
      </c>
    </row>
    <row r="1044" spans="1:48" x14ac:dyDescent="0.3">
      <c r="A1044" t="s">
        <v>1123</v>
      </c>
      <c r="C1044" t="s">
        <v>177</v>
      </c>
      <c r="E1044" t="s">
        <v>724</v>
      </c>
      <c r="G1044" t="s">
        <v>304</v>
      </c>
      <c r="R1044" t="s">
        <v>548</v>
      </c>
      <c r="S1044" t="s">
        <v>1226</v>
      </c>
      <c r="W1044" t="s">
        <v>372</v>
      </c>
      <c r="AB1044" t="s">
        <v>381</v>
      </c>
      <c r="AE1044" t="s">
        <v>371</v>
      </c>
      <c r="AF1044" t="s">
        <v>158</v>
      </c>
      <c r="AM1044" t="s">
        <v>117</v>
      </c>
      <c r="AO1044" t="s">
        <v>347</v>
      </c>
      <c r="AQ1044" t="s">
        <v>443</v>
      </c>
      <c r="AU1044" t="s">
        <v>59</v>
      </c>
      <c r="AV1044" t="s">
        <v>228</v>
      </c>
    </row>
    <row r="1045" spans="1:48" x14ac:dyDescent="0.3">
      <c r="A1045" t="s">
        <v>1127</v>
      </c>
      <c r="C1045" t="s">
        <v>245</v>
      </c>
      <c r="E1045" t="s">
        <v>133</v>
      </c>
      <c r="G1045" t="s">
        <v>2008</v>
      </c>
      <c r="R1045" t="s">
        <v>539</v>
      </c>
      <c r="S1045" t="s">
        <v>471</v>
      </c>
      <c r="W1045" t="s">
        <v>1368</v>
      </c>
      <c r="AB1045" t="s">
        <v>409</v>
      </c>
      <c r="AE1045" t="s">
        <v>1129</v>
      </c>
      <c r="AF1045" t="s">
        <v>79</v>
      </c>
      <c r="AM1045" t="s">
        <v>2009</v>
      </c>
      <c r="AO1045" t="s">
        <v>810</v>
      </c>
      <c r="AQ1045" t="s">
        <v>1132</v>
      </c>
      <c r="AU1045" t="s">
        <v>55</v>
      </c>
      <c r="AV1045" t="s">
        <v>107</v>
      </c>
    </row>
    <row r="1046" spans="1:48" x14ac:dyDescent="0.3">
      <c r="A1046" t="s">
        <v>1134</v>
      </c>
      <c r="C1046" t="s">
        <v>73</v>
      </c>
      <c r="E1046" t="s">
        <v>403</v>
      </c>
      <c r="G1046" t="s">
        <v>433</v>
      </c>
      <c r="R1046" t="s">
        <v>372</v>
      </c>
      <c r="S1046" t="s">
        <v>297</v>
      </c>
      <c r="U1046" t="s">
        <v>1484</v>
      </c>
      <c r="Y1046" t="s">
        <v>73</v>
      </c>
      <c r="AC1046" t="s">
        <v>724</v>
      </c>
      <c r="AG1046" t="s">
        <v>79</v>
      </c>
      <c r="AM1046" t="s">
        <v>2010</v>
      </c>
      <c r="AO1046" t="s">
        <v>1137</v>
      </c>
      <c r="AQ1046" t="s">
        <v>1138</v>
      </c>
      <c r="AU1046" t="s">
        <v>172</v>
      </c>
      <c r="AV1046" t="s">
        <v>71</v>
      </c>
    </row>
    <row r="1047" spans="1:48" x14ac:dyDescent="0.3">
      <c r="A1047" t="s">
        <v>1140</v>
      </c>
      <c r="C1047" t="s">
        <v>386</v>
      </c>
      <c r="E1047" t="s">
        <v>471</v>
      </c>
      <c r="G1047" t="s">
        <v>844</v>
      </c>
      <c r="J1047" t="s">
        <v>443</v>
      </c>
      <c r="L1047" t="s">
        <v>1142</v>
      </c>
      <c r="R1047" t="s">
        <v>575</v>
      </c>
      <c r="S1047" t="s">
        <v>438</v>
      </c>
      <c r="U1047" t="s">
        <v>1226</v>
      </c>
      <c r="Y1047" t="s">
        <v>429</v>
      </c>
      <c r="AC1047" t="s">
        <v>430</v>
      </c>
      <c r="AG1047" t="s">
        <v>79</v>
      </c>
      <c r="AM1047" t="s">
        <v>245</v>
      </c>
      <c r="AO1047" t="s">
        <v>714</v>
      </c>
      <c r="AQ1047" t="s">
        <v>462</v>
      </c>
      <c r="AU1047" t="s">
        <v>172</v>
      </c>
      <c r="AV1047" t="s">
        <v>60</v>
      </c>
    </row>
    <row r="1048" spans="1:48" x14ac:dyDescent="0.3">
      <c r="A1048" t="s">
        <v>1144</v>
      </c>
      <c r="C1048" t="s">
        <v>50</v>
      </c>
      <c r="E1048" t="s">
        <v>403</v>
      </c>
      <c r="G1048" t="s">
        <v>2011</v>
      </c>
      <c r="J1048" t="s">
        <v>712</v>
      </c>
      <c r="L1048" t="s">
        <v>1146</v>
      </c>
      <c r="R1048" t="s">
        <v>844</v>
      </c>
      <c r="S1048" t="s">
        <v>96</v>
      </c>
      <c r="U1048" t="s">
        <v>460</v>
      </c>
      <c r="Y1048" t="s">
        <v>1147</v>
      </c>
      <c r="AC1048" t="s">
        <v>1148</v>
      </c>
      <c r="AG1048" t="s">
        <v>79</v>
      </c>
      <c r="AM1048" t="s">
        <v>2012</v>
      </c>
      <c r="AO1048" t="s">
        <v>440</v>
      </c>
      <c r="AQ1048" t="s">
        <v>810</v>
      </c>
      <c r="AU1048" t="s">
        <v>172</v>
      </c>
      <c r="AV1048" t="s">
        <v>158</v>
      </c>
    </row>
    <row r="1049" spans="1:48" x14ac:dyDescent="0.3">
      <c r="A1049" t="s">
        <v>1151</v>
      </c>
      <c r="C1049" t="s">
        <v>123</v>
      </c>
      <c r="E1049" t="s">
        <v>714</v>
      </c>
      <c r="G1049" t="s">
        <v>2013</v>
      </c>
      <c r="J1049" t="s">
        <v>1153</v>
      </c>
      <c r="L1049" t="s">
        <v>1154</v>
      </c>
      <c r="R1049" t="s">
        <v>698</v>
      </c>
      <c r="S1049" t="s">
        <v>511</v>
      </c>
      <c r="U1049" t="s">
        <v>2014</v>
      </c>
      <c r="Y1049" t="s">
        <v>432</v>
      </c>
      <c r="AC1049" t="s">
        <v>729</v>
      </c>
      <c r="AG1049" t="s">
        <v>70</v>
      </c>
      <c r="AM1049" t="s">
        <v>2015</v>
      </c>
      <c r="AO1049" t="s">
        <v>1156</v>
      </c>
      <c r="AQ1049" t="s">
        <v>1157</v>
      </c>
      <c r="AU1049" t="s">
        <v>63</v>
      </c>
      <c r="AV1049" t="s">
        <v>158</v>
      </c>
    </row>
    <row r="1050" spans="1:48" x14ac:dyDescent="0.3">
      <c r="A1050" t="s">
        <v>1159</v>
      </c>
      <c r="C1050" t="s">
        <v>707</v>
      </c>
      <c r="E1050" t="s">
        <v>147</v>
      </c>
      <c r="G1050" t="s">
        <v>2016</v>
      </c>
      <c r="J1050" t="s">
        <v>1161</v>
      </c>
      <c r="L1050" t="s">
        <v>1015</v>
      </c>
      <c r="R1050" t="s">
        <v>1627</v>
      </c>
      <c r="S1050" t="s">
        <v>297</v>
      </c>
      <c r="U1050" t="s">
        <v>2017</v>
      </c>
      <c r="Y1050" t="s">
        <v>799</v>
      </c>
      <c r="AC1050" t="s">
        <v>1162</v>
      </c>
      <c r="AG1050" t="s">
        <v>79</v>
      </c>
      <c r="AM1050" t="s">
        <v>2018</v>
      </c>
      <c r="AO1050" t="s">
        <v>318</v>
      </c>
      <c r="AQ1050" t="s">
        <v>1164</v>
      </c>
      <c r="AU1050" t="s">
        <v>70</v>
      </c>
      <c r="AV1050" t="s">
        <v>249</v>
      </c>
    </row>
    <row r="1051" spans="1:48" x14ac:dyDescent="0.3">
      <c r="A1051" t="s">
        <v>1166</v>
      </c>
      <c r="C1051" t="s">
        <v>374</v>
      </c>
      <c r="E1051" t="s">
        <v>881</v>
      </c>
      <c r="G1051" t="s">
        <v>298</v>
      </c>
      <c r="J1051" t="s">
        <v>1014</v>
      </c>
      <c r="L1051" t="s">
        <v>1015</v>
      </c>
      <c r="R1051" t="s">
        <v>2019</v>
      </c>
      <c r="S1051" t="s">
        <v>2020</v>
      </c>
      <c r="U1051" t="s">
        <v>305</v>
      </c>
      <c r="Y1051" t="s">
        <v>206</v>
      </c>
      <c r="AC1051" t="s">
        <v>163</v>
      </c>
      <c r="AG1051" t="s">
        <v>79</v>
      </c>
      <c r="AM1051" t="s">
        <v>1533</v>
      </c>
      <c r="AO1051" t="s">
        <v>2021</v>
      </c>
      <c r="AQ1051" t="s">
        <v>2022</v>
      </c>
      <c r="AU1051" t="s">
        <v>107</v>
      </c>
      <c r="AV1051" t="s">
        <v>158</v>
      </c>
    </row>
    <row r="1052" spans="1:48" x14ac:dyDescent="0.3">
      <c r="A1052" t="s">
        <v>1172</v>
      </c>
      <c r="C1052" t="s">
        <v>107</v>
      </c>
      <c r="E1052" t="s">
        <v>263</v>
      </c>
      <c r="G1052" t="s">
        <v>2023</v>
      </c>
      <c r="R1052" t="s">
        <v>844</v>
      </c>
      <c r="S1052" t="s">
        <v>297</v>
      </c>
      <c r="U1052" t="s">
        <v>2024</v>
      </c>
      <c r="Y1052" t="s">
        <v>521</v>
      </c>
      <c r="AC1052" t="s">
        <v>1174</v>
      </c>
      <c r="AG1052" t="s">
        <v>55</v>
      </c>
      <c r="AM1052" t="s">
        <v>2025</v>
      </c>
      <c r="AO1052" t="s">
        <v>1177</v>
      </c>
      <c r="AQ1052" t="s">
        <v>1178</v>
      </c>
      <c r="AU1052" t="s">
        <v>107</v>
      </c>
      <c r="AV1052" t="s">
        <v>134</v>
      </c>
    </row>
    <row r="1053" spans="1:48" x14ac:dyDescent="0.3">
      <c r="A1053" t="s">
        <v>1181</v>
      </c>
      <c r="C1053" t="s">
        <v>1033</v>
      </c>
      <c r="E1053" t="s">
        <v>800</v>
      </c>
      <c r="G1053" t="s">
        <v>531</v>
      </c>
      <c r="R1053" t="s">
        <v>701</v>
      </c>
      <c r="S1053" t="s">
        <v>1224</v>
      </c>
      <c r="W1053" t="s">
        <v>177</v>
      </c>
      <c r="AB1053" t="s">
        <v>1037</v>
      </c>
      <c r="AE1053" t="s">
        <v>1183</v>
      </c>
      <c r="AF1053" t="s">
        <v>1185</v>
      </c>
      <c r="AM1053" t="s">
        <v>2026</v>
      </c>
      <c r="AO1053" t="s">
        <v>2027</v>
      </c>
      <c r="AQ1053" t="s">
        <v>1187</v>
      </c>
      <c r="AU1053" t="s">
        <v>60</v>
      </c>
      <c r="AV1053" t="s">
        <v>134</v>
      </c>
    </row>
    <row r="1054" spans="1:48" s="4" customFormat="1" x14ac:dyDescent="0.3"/>
    <row r="1055" spans="1:48" s="4" customFormat="1" x14ac:dyDescent="0.3"/>
    <row r="1056" spans="1:48" s="4" customFormat="1" x14ac:dyDescent="0.3"/>
    <row r="1057" s="4" customFormat="1" x14ac:dyDescent="0.3"/>
    <row r="1058" s="4" customFormat="1" x14ac:dyDescent="0.3"/>
    <row r="1059" s="4" customFormat="1" x14ac:dyDescent="0.3"/>
    <row r="1060" s="4" customFormat="1" x14ac:dyDescent="0.3"/>
    <row r="1061" s="4" customFormat="1" x14ac:dyDescent="0.3"/>
    <row r="1062" s="4" customFormat="1" x14ac:dyDescent="0.3"/>
    <row r="1063" s="4" customFormat="1" x14ac:dyDescent="0.3"/>
    <row r="1064" s="4" customFormat="1" x14ac:dyDescent="0.3"/>
    <row r="1065" s="4" customFormat="1" x14ac:dyDescent="0.3"/>
    <row r="1066" s="4" customFormat="1" x14ac:dyDescent="0.3"/>
    <row r="1067" s="4" customFormat="1" x14ac:dyDescent="0.3"/>
    <row r="1068" s="4" customFormat="1" x14ac:dyDescent="0.3"/>
    <row r="1069" s="4" customFormat="1" x14ac:dyDescent="0.3"/>
    <row r="1070" s="4" customFormat="1" x14ac:dyDescent="0.3"/>
    <row r="1071" s="4" customFormat="1" x14ac:dyDescent="0.3"/>
    <row r="1072" s="4" customFormat="1" x14ac:dyDescent="0.3"/>
    <row r="1073" spans="1:5" s="4" customFormat="1" x14ac:dyDescent="0.3"/>
    <row r="1074" spans="1:5" s="4" customFormat="1" x14ac:dyDescent="0.3"/>
    <row r="1075" spans="1:5" s="4" customFormat="1" x14ac:dyDescent="0.3"/>
    <row r="1076" spans="1:5" s="4" customFormat="1" x14ac:dyDescent="0.3"/>
    <row r="1077" spans="1:5" s="4" customFormat="1" x14ac:dyDescent="0.3"/>
    <row r="1078" spans="1:5" s="4" customFormat="1" x14ac:dyDescent="0.3"/>
    <row r="1079" spans="1:5" s="4" customFormat="1" x14ac:dyDescent="0.3"/>
    <row r="1080" spans="1:5" s="4" customFormat="1" x14ac:dyDescent="0.3"/>
    <row r="1081" spans="1:5" s="4" customFormat="1" x14ac:dyDescent="0.3"/>
    <row r="1082" spans="1:5" s="4" customFormat="1" x14ac:dyDescent="0.3"/>
    <row r="1083" spans="1:5" s="4" customFormat="1" x14ac:dyDescent="0.3"/>
    <row r="1084" spans="1:5" s="4" customFormat="1" x14ac:dyDescent="0.3"/>
    <row r="1086" spans="1:5" x14ac:dyDescent="0.3">
      <c r="A1086" s="23" t="s">
        <v>2028</v>
      </c>
      <c r="B1086" s="24"/>
      <c r="C1086" s="24"/>
      <c r="D1086" s="24"/>
      <c r="E1086" s="24"/>
    </row>
    <row r="1087" spans="1:5" x14ac:dyDescent="0.3">
      <c r="B1087" t="s">
        <v>8</v>
      </c>
      <c r="C1087" t="s">
        <v>8</v>
      </c>
      <c r="D1087" t="s">
        <v>8</v>
      </c>
    </row>
    <row r="1088" spans="1:5" x14ac:dyDescent="0.3">
      <c r="B1088" t="s">
        <v>1241</v>
      </c>
      <c r="C1088" t="s">
        <v>23</v>
      </c>
      <c r="D1088" t="s">
        <v>24</v>
      </c>
    </row>
    <row r="1089" spans="1:4" x14ac:dyDescent="0.3">
      <c r="A1089" t="s">
        <v>39</v>
      </c>
      <c r="B1089" t="s">
        <v>41</v>
      </c>
      <c r="C1089" t="s">
        <v>41</v>
      </c>
      <c r="D1089" t="s">
        <v>45</v>
      </c>
    </row>
    <row r="1090" spans="1:4" x14ac:dyDescent="0.3">
      <c r="A1090" t="s">
        <v>584</v>
      </c>
      <c r="B1090" t="s">
        <v>1192</v>
      </c>
      <c r="C1090" t="s">
        <v>1191</v>
      </c>
      <c r="D1090" t="s">
        <v>1191</v>
      </c>
    </row>
    <row r="1091" spans="1:4" x14ac:dyDescent="0.3">
      <c r="A1091" t="s">
        <v>600</v>
      </c>
      <c r="B1091" t="s">
        <v>1192</v>
      </c>
      <c r="C1091" t="s">
        <v>1191</v>
      </c>
      <c r="D1091" t="s">
        <v>1191</v>
      </c>
    </row>
    <row r="1092" spans="1:4" x14ac:dyDescent="0.3">
      <c r="A1092" t="s">
        <v>614</v>
      </c>
      <c r="B1092" t="s">
        <v>1192</v>
      </c>
      <c r="C1092" t="s">
        <v>1191</v>
      </c>
      <c r="D1092" t="s">
        <v>1191</v>
      </c>
    </row>
    <row r="1093" spans="1:4" x14ac:dyDescent="0.3">
      <c r="A1093" t="s">
        <v>633</v>
      </c>
      <c r="B1093" t="s">
        <v>1192</v>
      </c>
      <c r="C1093" t="s">
        <v>1191</v>
      </c>
      <c r="D1093" t="s">
        <v>1191</v>
      </c>
    </row>
    <row r="1094" spans="1:4" x14ac:dyDescent="0.3">
      <c r="A1094" t="s">
        <v>652</v>
      </c>
      <c r="B1094" t="s">
        <v>1192</v>
      </c>
      <c r="C1094" t="s">
        <v>1191</v>
      </c>
      <c r="D1094" t="s">
        <v>1191</v>
      </c>
    </row>
    <row r="1095" spans="1:4" x14ac:dyDescent="0.3">
      <c r="A1095" t="s">
        <v>666</v>
      </c>
      <c r="B1095" t="s">
        <v>1192</v>
      </c>
      <c r="C1095" t="s">
        <v>1191</v>
      </c>
      <c r="D1095" t="s">
        <v>1191</v>
      </c>
    </row>
    <row r="1096" spans="1:4" x14ac:dyDescent="0.3">
      <c r="A1096" t="s">
        <v>680</v>
      </c>
      <c r="B1096" t="s">
        <v>1192</v>
      </c>
      <c r="C1096" t="s">
        <v>1191</v>
      </c>
      <c r="D1096" t="s">
        <v>1191</v>
      </c>
    </row>
    <row r="1097" spans="1:4" x14ac:dyDescent="0.3">
      <c r="A1097" t="s">
        <v>692</v>
      </c>
      <c r="B1097" t="s">
        <v>1192</v>
      </c>
      <c r="C1097" t="s">
        <v>1191</v>
      </c>
      <c r="D1097" t="s">
        <v>1191</v>
      </c>
    </row>
    <row r="1098" spans="1:4" x14ac:dyDescent="0.3">
      <c r="A1098" t="s">
        <v>703</v>
      </c>
      <c r="B1098" t="s">
        <v>1192</v>
      </c>
      <c r="C1098" t="s">
        <v>1191</v>
      </c>
      <c r="D1098" t="s">
        <v>1191</v>
      </c>
    </row>
    <row r="1099" spans="1:4" x14ac:dyDescent="0.3">
      <c r="A1099" t="s">
        <v>718</v>
      </c>
      <c r="B1099" t="s">
        <v>1192</v>
      </c>
      <c r="C1099" t="s">
        <v>1191</v>
      </c>
      <c r="D1099" t="s">
        <v>1191</v>
      </c>
    </row>
    <row r="1100" spans="1:4" x14ac:dyDescent="0.3">
      <c r="A1100" t="s">
        <v>734</v>
      </c>
      <c r="B1100" t="s">
        <v>1192</v>
      </c>
      <c r="C1100" t="s">
        <v>1191</v>
      </c>
      <c r="D1100" t="s">
        <v>1191</v>
      </c>
    </row>
    <row r="1101" spans="1:4" x14ac:dyDescent="0.3">
      <c r="A1101" t="s">
        <v>747</v>
      </c>
      <c r="B1101" t="s">
        <v>1192</v>
      </c>
      <c r="C1101" t="s">
        <v>1191</v>
      </c>
      <c r="D1101" t="s">
        <v>1191</v>
      </c>
    </row>
    <row r="1102" spans="1:4" x14ac:dyDescent="0.3">
      <c r="A1102" t="s">
        <v>762</v>
      </c>
      <c r="B1102" t="s">
        <v>1192</v>
      </c>
      <c r="C1102" t="s">
        <v>1191</v>
      </c>
      <c r="D1102" t="s">
        <v>1191</v>
      </c>
    </row>
    <row r="1103" spans="1:4" x14ac:dyDescent="0.3">
      <c r="A1103" t="s">
        <v>780</v>
      </c>
      <c r="B1103" t="s">
        <v>529</v>
      </c>
      <c r="C1103" t="s">
        <v>1191</v>
      </c>
      <c r="D1103" t="s">
        <v>1191</v>
      </c>
    </row>
    <row r="1104" spans="1:4" x14ac:dyDescent="0.3">
      <c r="A1104" t="s">
        <v>791</v>
      </c>
      <c r="B1104" t="s">
        <v>1235</v>
      </c>
      <c r="C1104" t="s">
        <v>1191</v>
      </c>
      <c r="D1104" t="s">
        <v>1191</v>
      </c>
    </row>
    <row r="1105" spans="1:4" x14ac:dyDescent="0.3">
      <c r="A1105" t="s">
        <v>807</v>
      </c>
      <c r="B1105" t="s">
        <v>1192</v>
      </c>
      <c r="C1105" t="s">
        <v>1191</v>
      </c>
      <c r="D1105" t="s">
        <v>1191</v>
      </c>
    </row>
    <row r="1106" spans="1:4" x14ac:dyDescent="0.3">
      <c r="A1106" t="s">
        <v>820</v>
      </c>
      <c r="B1106" t="s">
        <v>529</v>
      </c>
      <c r="C1106" t="s">
        <v>727</v>
      </c>
      <c r="D1106" t="s">
        <v>727</v>
      </c>
    </row>
    <row r="1107" spans="1:4" x14ac:dyDescent="0.3">
      <c r="A1107" t="s">
        <v>835</v>
      </c>
      <c r="B1107" t="s">
        <v>529</v>
      </c>
      <c r="C1107" t="s">
        <v>1191</v>
      </c>
      <c r="D1107" t="s">
        <v>1191</v>
      </c>
    </row>
    <row r="1108" spans="1:4" x14ac:dyDescent="0.3">
      <c r="A1108" t="s">
        <v>846</v>
      </c>
      <c r="B1108" t="s">
        <v>529</v>
      </c>
      <c r="C1108" t="s">
        <v>1191</v>
      </c>
      <c r="D1108" t="s">
        <v>1191</v>
      </c>
    </row>
    <row r="1109" spans="1:4" x14ac:dyDescent="0.3">
      <c r="A1109" t="s">
        <v>856</v>
      </c>
      <c r="B1109" t="s">
        <v>529</v>
      </c>
      <c r="C1109" t="s">
        <v>1191</v>
      </c>
      <c r="D1109" t="s">
        <v>1191</v>
      </c>
    </row>
    <row r="1110" spans="1:4" x14ac:dyDescent="0.3">
      <c r="A1110" t="s">
        <v>864</v>
      </c>
      <c r="B1110" t="s">
        <v>529</v>
      </c>
      <c r="C1110" t="s">
        <v>1191</v>
      </c>
      <c r="D1110" t="s">
        <v>1191</v>
      </c>
    </row>
    <row r="1111" spans="1:4" x14ac:dyDescent="0.3">
      <c r="A1111" t="s">
        <v>875</v>
      </c>
      <c r="B1111" t="s">
        <v>529</v>
      </c>
      <c r="C1111" t="s">
        <v>1191</v>
      </c>
      <c r="D1111" t="s">
        <v>1191</v>
      </c>
    </row>
    <row r="1112" spans="1:4" x14ac:dyDescent="0.3">
      <c r="A1112" t="s">
        <v>888</v>
      </c>
      <c r="B1112" t="s">
        <v>529</v>
      </c>
      <c r="C1112" t="s">
        <v>1191</v>
      </c>
      <c r="D1112" t="s">
        <v>1191</v>
      </c>
    </row>
    <row r="1113" spans="1:4" x14ac:dyDescent="0.3">
      <c r="A1113" t="s">
        <v>902</v>
      </c>
      <c r="B1113" t="s">
        <v>529</v>
      </c>
      <c r="C1113" t="s">
        <v>1191</v>
      </c>
      <c r="D1113" t="s">
        <v>1191</v>
      </c>
    </row>
    <row r="1114" spans="1:4" x14ac:dyDescent="0.3">
      <c r="A1114" t="s">
        <v>915</v>
      </c>
      <c r="B1114" t="s">
        <v>529</v>
      </c>
      <c r="C1114" t="s">
        <v>1191</v>
      </c>
      <c r="D1114" t="s">
        <v>1191</v>
      </c>
    </row>
    <row r="1115" spans="1:4" x14ac:dyDescent="0.3">
      <c r="A1115" t="s">
        <v>928</v>
      </c>
      <c r="B1115" t="s">
        <v>529</v>
      </c>
      <c r="C1115" t="s">
        <v>1191</v>
      </c>
      <c r="D1115" t="s">
        <v>1191</v>
      </c>
    </row>
    <row r="1116" spans="1:4" x14ac:dyDescent="0.3">
      <c r="A1116" t="s">
        <v>941</v>
      </c>
      <c r="B1116" t="s">
        <v>529</v>
      </c>
      <c r="C1116" t="s">
        <v>1191</v>
      </c>
      <c r="D1116" t="s">
        <v>1191</v>
      </c>
    </row>
    <row r="1117" spans="1:4" x14ac:dyDescent="0.3">
      <c r="A1117" t="s">
        <v>953</v>
      </c>
      <c r="B1117" t="s">
        <v>529</v>
      </c>
      <c r="C1117" t="s">
        <v>1191</v>
      </c>
      <c r="D1117" t="s">
        <v>1191</v>
      </c>
    </row>
    <row r="1118" spans="1:4" x14ac:dyDescent="0.3">
      <c r="A1118" t="s">
        <v>962</v>
      </c>
      <c r="B1118" t="s">
        <v>1192</v>
      </c>
      <c r="C1118" t="s">
        <v>1191</v>
      </c>
      <c r="D1118" t="s">
        <v>1191</v>
      </c>
    </row>
    <row r="1119" spans="1:4" x14ac:dyDescent="0.3">
      <c r="A1119" t="s">
        <v>972</v>
      </c>
      <c r="B1119" t="s">
        <v>2029</v>
      </c>
      <c r="C1119" t="s">
        <v>1191</v>
      </c>
      <c r="D1119" t="s">
        <v>1191</v>
      </c>
    </row>
    <row r="1120" spans="1:4" x14ac:dyDescent="0.3">
      <c r="A1120" t="s">
        <v>983</v>
      </c>
      <c r="B1120" t="s">
        <v>529</v>
      </c>
      <c r="C1120" t="s">
        <v>1191</v>
      </c>
      <c r="D1120" t="s">
        <v>1191</v>
      </c>
    </row>
    <row r="1121" spans="1:4" x14ac:dyDescent="0.3">
      <c r="A1121" t="s">
        <v>991</v>
      </c>
      <c r="B1121" t="s">
        <v>529</v>
      </c>
      <c r="C1121" t="s">
        <v>1191</v>
      </c>
      <c r="D1121" t="s">
        <v>1191</v>
      </c>
    </row>
    <row r="1122" spans="1:4" x14ac:dyDescent="0.3">
      <c r="A1122" t="s">
        <v>1001</v>
      </c>
      <c r="B1122" t="s">
        <v>529</v>
      </c>
      <c r="C1122" t="s">
        <v>1191</v>
      </c>
      <c r="D1122" t="s">
        <v>1191</v>
      </c>
    </row>
    <row r="1123" spans="1:4" x14ac:dyDescent="0.3">
      <c r="A1123" t="s">
        <v>1018</v>
      </c>
      <c r="B1123" t="s">
        <v>2030</v>
      </c>
      <c r="C1123" t="s">
        <v>1191</v>
      </c>
      <c r="D1123" t="s">
        <v>1191</v>
      </c>
    </row>
    <row r="1124" spans="1:4" x14ac:dyDescent="0.3">
      <c r="A1124" t="s">
        <v>1035</v>
      </c>
      <c r="B1124" t="s">
        <v>2031</v>
      </c>
      <c r="C1124" t="s">
        <v>727</v>
      </c>
      <c r="D1124" t="s">
        <v>727</v>
      </c>
    </row>
    <row r="1125" spans="1:4" x14ac:dyDescent="0.3">
      <c r="A1125" t="s">
        <v>1046</v>
      </c>
      <c r="B1125" t="s">
        <v>2032</v>
      </c>
      <c r="C1125" t="s">
        <v>1191</v>
      </c>
      <c r="D1125" t="s">
        <v>1191</v>
      </c>
    </row>
    <row r="1126" spans="1:4" x14ac:dyDescent="0.3">
      <c r="A1126" t="s">
        <v>1059</v>
      </c>
      <c r="B1126" t="s">
        <v>575</v>
      </c>
      <c r="C1126" t="s">
        <v>727</v>
      </c>
      <c r="D1126" t="s">
        <v>727</v>
      </c>
    </row>
    <row r="1127" spans="1:4" x14ac:dyDescent="0.3">
      <c r="A1127" t="s">
        <v>1069</v>
      </c>
      <c r="B1127" t="s">
        <v>2033</v>
      </c>
      <c r="C1127" t="s">
        <v>727</v>
      </c>
      <c r="D1127" t="s">
        <v>727</v>
      </c>
    </row>
    <row r="1128" spans="1:4" x14ac:dyDescent="0.3">
      <c r="A1128" t="s">
        <v>1079</v>
      </c>
      <c r="B1128" t="s">
        <v>575</v>
      </c>
      <c r="C1128" t="s">
        <v>727</v>
      </c>
      <c r="D1128" t="s">
        <v>727</v>
      </c>
    </row>
    <row r="1129" spans="1:4" x14ac:dyDescent="0.3">
      <c r="A1129" t="s">
        <v>1089</v>
      </c>
      <c r="B1129" t="s">
        <v>1467</v>
      </c>
      <c r="C1129" t="s">
        <v>1191</v>
      </c>
      <c r="D1129" t="s">
        <v>1191</v>
      </c>
    </row>
    <row r="1130" spans="1:4" x14ac:dyDescent="0.3">
      <c r="A1130" t="s">
        <v>1101</v>
      </c>
      <c r="B1130" t="s">
        <v>2034</v>
      </c>
      <c r="C1130" t="s">
        <v>727</v>
      </c>
      <c r="D1130" t="s">
        <v>727</v>
      </c>
    </row>
    <row r="1131" spans="1:4" x14ac:dyDescent="0.3">
      <c r="A1131" t="s">
        <v>1110</v>
      </c>
      <c r="B1131" t="s">
        <v>2035</v>
      </c>
      <c r="C1131" t="s">
        <v>1191</v>
      </c>
      <c r="D1131" t="s">
        <v>1191</v>
      </c>
    </row>
    <row r="1132" spans="1:4" x14ac:dyDescent="0.3">
      <c r="A1132" t="s">
        <v>1123</v>
      </c>
      <c r="B1132" t="s">
        <v>2036</v>
      </c>
      <c r="C1132" t="s">
        <v>727</v>
      </c>
      <c r="D1132" t="s">
        <v>727</v>
      </c>
    </row>
    <row r="1133" spans="1:4" x14ac:dyDescent="0.3">
      <c r="A1133" t="s">
        <v>1134</v>
      </c>
      <c r="B1133" t="s">
        <v>2031</v>
      </c>
      <c r="C1133" t="s">
        <v>727</v>
      </c>
      <c r="D1133" t="s">
        <v>727</v>
      </c>
    </row>
    <row r="1134" spans="1:4" x14ac:dyDescent="0.3">
      <c r="A1134" t="s">
        <v>1144</v>
      </c>
      <c r="B1134" t="s">
        <v>2037</v>
      </c>
      <c r="C1134" t="s">
        <v>727</v>
      </c>
      <c r="D1134" t="s">
        <v>727</v>
      </c>
    </row>
    <row r="1135" spans="1:4" x14ac:dyDescent="0.3">
      <c r="A1135" t="s">
        <v>1159</v>
      </c>
      <c r="B1135" t="s">
        <v>2038</v>
      </c>
      <c r="C1135" t="s">
        <v>727</v>
      </c>
      <c r="D1135" t="s">
        <v>727</v>
      </c>
    </row>
    <row r="1136" spans="1:4" x14ac:dyDescent="0.3">
      <c r="A1136" t="s">
        <v>1172</v>
      </c>
      <c r="B1136" t="s">
        <v>2039</v>
      </c>
      <c r="C1136" t="s">
        <v>727</v>
      </c>
      <c r="D1136" t="s">
        <v>727</v>
      </c>
    </row>
    <row r="1137" spans="1:5" x14ac:dyDescent="0.3">
      <c r="A1137" t="s">
        <v>1203</v>
      </c>
      <c r="B1137" t="s">
        <v>2040</v>
      </c>
      <c r="C1137" t="s">
        <v>1191</v>
      </c>
      <c r="D1137" t="s">
        <v>1191</v>
      </c>
    </row>
    <row r="1139" spans="1:5" x14ac:dyDescent="0.3">
      <c r="A1139" s="23" t="s">
        <v>2041</v>
      </c>
      <c r="B1139" s="24"/>
      <c r="C1139" s="24"/>
      <c r="D1139" s="24"/>
      <c r="E1139" s="24"/>
    </row>
    <row r="1140" spans="1:5" x14ac:dyDescent="0.3">
      <c r="B1140" t="s">
        <v>1206</v>
      </c>
    </row>
    <row r="1141" spans="1:5" x14ac:dyDescent="0.3">
      <c r="B1141" t="s">
        <v>19</v>
      </c>
    </row>
    <row r="1142" spans="1:5" x14ac:dyDescent="0.3">
      <c r="A1142" t="s">
        <v>39</v>
      </c>
      <c r="B1142" t="s">
        <v>45</v>
      </c>
    </row>
    <row r="1143" spans="1:5" x14ac:dyDescent="0.3">
      <c r="A1143" t="s">
        <v>402</v>
      </c>
      <c r="B1143" t="s">
        <v>1234</v>
      </c>
    </row>
    <row r="1144" spans="1:5" x14ac:dyDescent="0.3">
      <c r="A1144" t="s">
        <v>411</v>
      </c>
      <c r="B1144" t="s">
        <v>1234</v>
      </c>
    </row>
    <row r="1145" spans="1:5" x14ac:dyDescent="0.3">
      <c r="A1145" t="s">
        <v>420</v>
      </c>
      <c r="B1145" t="s">
        <v>1234</v>
      </c>
    </row>
    <row r="1146" spans="1:5" x14ac:dyDescent="0.3">
      <c r="A1146" t="s">
        <v>427</v>
      </c>
      <c r="B1146" t="s">
        <v>2042</v>
      </c>
    </row>
    <row r="1147" spans="1:5" x14ac:dyDescent="0.3">
      <c r="A1147" t="s">
        <v>436</v>
      </c>
      <c r="B1147" t="s">
        <v>1234</v>
      </c>
    </row>
    <row r="1148" spans="1:5" x14ac:dyDescent="0.3">
      <c r="A1148" t="s">
        <v>442</v>
      </c>
      <c r="B1148" t="s">
        <v>1234</v>
      </c>
    </row>
    <row r="1149" spans="1:5" x14ac:dyDescent="0.3">
      <c r="A1149" t="s">
        <v>448</v>
      </c>
      <c r="B1149" t="s">
        <v>1234</v>
      </c>
    </row>
    <row r="1150" spans="1:5" x14ac:dyDescent="0.3">
      <c r="A1150" t="s">
        <v>455</v>
      </c>
      <c r="B1150" t="s">
        <v>1234</v>
      </c>
    </row>
    <row r="1151" spans="1:5" x14ac:dyDescent="0.3">
      <c r="A1151" t="s">
        <v>464</v>
      </c>
      <c r="B1151" t="s">
        <v>138</v>
      </c>
    </row>
    <row r="1152" spans="1:5" x14ac:dyDescent="0.3">
      <c r="A1152" t="s">
        <v>469</v>
      </c>
      <c r="B1152" t="s">
        <v>1234</v>
      </c>
    </row>
    <row r="1153" spans="1:5" x14ac:dyDescent="0.3">
      <c r="A1153" t="s">
        <v>474</v>
      </c>
      <c r="B1153" t="s">
        <v>1234</v>
      </c>
    </row>
    <row r="1154" spans="1:5" x14ac:dyDescent="0.3">
      <c r="A1154" t="s">
        <v>480</v>
      </c>
      <c r="B1154" t="s">
        <v>1234</v>
      </c>
    </row>
    <row r="1156" spans="1:5" x14ac:dyDescent="0.3">
      <c r="A1156" s="23" t="s">
        <v>2043</v>
      </c>
      <c r="B1156" s="24"/>
      <c r="C1156" s="24"/>
      <c r="D1156" s="24"/>
      <c r="E1156" s="24"/>
    </row>
    <row r="1157" spans="1:5" x14ac:dyDescent="0.3">
      <c r="B1157" t="s">
        <v>1218</v>
      </c>
      <c r="C1157" t="s">
        <v>1218</v>
      </c>
    </row>
    <row r="1158" spans="1:5" x14ac:dyDescent="0.3">
      <c r="B1158" t="s">
        <v>1219</v>
      </c>
      <c r="C1158" t="s">
        <v>1220</v>
      </c>
    </row>
    <row r="1159" spans="1:5" x14ac:dyDescent="0.3">
      <c r="A1159" t="s">
        <v>39</v>
      </c>
      <c r="B1159" t="s">
        <v>1221</v>
      </c>
      <c r="C1159" t="s">
        <v>1221</v>
      </c>
    </row>
    <row r="1160" spans="1:5" x14ac:dyDescent="0.3">
      <c r="A1160" t="s">
        <v>48</v>
      </c>
      <c r="C1160" t="s">
        <v>1228</v>
      </c>
    </row>
    <row r="1161" spans="1:5" x14ac:dyDescent="0.3">
      <c r="A1161" t="s">
        <v>61</v>
      </c>
      <c r="C1161" t="s">
        <v>1222</v>
      </c>
    </row>
    <row r="1162" spans="1:5" x14ac:dyDescent="0.3">
      <c r="A1162" t="s">
        <v>72</v>
      </c>
      <c r="C1162" t="s">
        <v>1222</v>
      </c>
    </row>
    <row r="1163" spans="1:5" x14ac:dyDescent="0.3">
      <c r="A1163" t="s">
        <v>83</v>
      </c>
      <c r="C1163" t="s">
        <v>1222</v>
      </c>
    </row>
    <row r="1164" spans="1:5" x14ac:dyDescent="0.3">
      <c r="A1164" t="s">
        <v>95</v>
      </c>
      <c r="C1164" t="s">
        <v>1234</v>
      </c>
    </row>
    <row r="1165" spans="1:5" x14ac:dyDescent="0.3">
      <c r="A1165" t="s">
        <v>109</v>
      </c>
      <c r="C1165" t="s">
        <v>1222</v>
      </c>
    </row>
    <row r="1166" spans="1:5" x14ac:dyDescent="0.3">
      <c r="A1166" t="s">
        <v>122</v>
      </c>
      <c r="C1166" t="s">
        <v>539</v>
      </c>
    </row>
    <row r="1167" spans="1:5" x14ac:dyDescent="0.3">
      <c r="A1167" t="s">
        <v>135</v>
      </c>
      <c r="C1167" t="s">
        <v>1222</v>
      </c>
    </row>
    <row r="1168" spans="1:5" x14ac:dyDescent="0.3">
      <c r="A1168" t="s">
        <v>148</v>
      </c>
      <c r="C1168" t="s">
        <v>1228</v>
      </c>
    </row>
    <row r="1169" spans="1:3" x14ac:dyDescent="0.3">
      <c r="A1169" t="s">
        <v>159</v>
      </c>
      <c r="C1169" t="s">
        <v>539</v>
      </c>
    </row>
    <row r="1170" spans="1:3" x14ac:dyDescent="0.3">
      <c r="A1170" t="s">
        <v>166</v>
      </c>
      <c r="C1170" t="s">
        <v>1086</v>
      </c>
    </row>
    <row r="1171" spans="1:3" x14ac:dyDescent="0.3">
      <c r="A1171" t="s">
        <v>176</v>
      </c>
      <c r="C1171" t="s">
        <v>1222</v>
      </c>
    </row>
    <row r="1172" spans="1:3" x14ac:dyDescent="0.3">
      <c r="A1172" t="s">
        <v>185</v>
      </c>
      <c r="C1172" t="s">
        <v>539</v>
      </c>
    </row>
    <row r="1173" spans="1:3" x14ac:dyDescent="0.3">
      <c r="A1173" t="s">
        <v>192</v>
      </c>
      <c r="C1173" t="s">
        <v>1225</v>
      </c>
    </row>
    <row r="1174" spans="1:3" x14ac:dyDescent="0.3">
      <c r="A1174" t="s">
        <v>200</v>
      </c>
      <c r="C1174" t="s">
        <v>1086</v>
      </c>
    </row>
    <row r="1175" spans="1:3" x14ac:dyDescent="0.3">
      <c r="A1175" t="s">
        <v>209</v>
      </c>
      <c r="C1175" t="s">
        <v>1225</v>
      </c>
    </row>
    <row r="1176" spans="1:3" x14ac:dyDescent="0.3">
      <c r="A1176" t="s">
        <v>217</v>
      </c>
      <c r="C1176" t="s">
        <v>1225</v>
      </c>
    </row>
    <row r="1177" spans="1:3" x14ac:dyDescent="0.3">
      <c r="A1177" t="s">
        <v>227</v>
      </c>
      <c r="C1177" t="s">
        <v>1225</v>
      </c>
    </row>
    <row r="1178" spans="1:3" x14ac:dyDescent="0.3">
      <c r="A1178" t="s">
        <v>238</v>
      </c>
      <c r="C1178" t="s">
        <v>1225</v>
      </c>
    </row>
    <row r="1179" spans="1:3" x14ac:dyDescent="0.3">
      <c r="A1179" t="s">
        <v>250</v>
      </c>
      <c r="C1179" t="s">
        <v>1225</v>
      </c>
    </row>
    <row r="1180" spans="1:3" x14ac:dyDescent="0.3">
      <c r="A1180" t="s">
        <v>262</v>
      </c>
      <c r="C1180" t="s">
        <v>1228</v>
      </c>
    </row>
    <row r="1181" spans="1:3" x14ac:dyDescent="0.3">
      <c r="A1181" t="s">
        <v>275</v>
      </c>
      <c r="C1181" t="s">
        <v>1225</v>
      </c>
    </row>
    <row r="1182" spans="1:3" x14ac:dyDescent="0.3">
      <c r="A1182" t="s">
        <v>283</v>
      </c>
      <c r="C1182" t="s">
        <v>1222</v>
      </c>
    </row>
    <row r="1183" spans="1:3" x14ac:dyDescent="0.3">
      <c r="A1183" t="s">
        <v>291</v>
      </c>
      <c r="C1183" t="s">
        <v>1225</v>
      </c>
    </row>
    <row r="1184" spans="1:3" x14ac:dyDescent="0.3">
      <c r="A1184" t="s">
        <v>296</v>
      </c>
      <c r="C1184" t="s">
        <v>1225</v>
      </c>
    </row>
    <row r="1185" spans="1:3" x14ac:dyDescent="0.3">
      <c r="A1185" t="s">
        <v>303</v>
      </c>
      <c r="C1185" t="s">
        <v>1234</v>
      </c>
    </row>
    <row r="1186" spans="1:3" x14ac:dyDescent="0.3">
      <c r="A1186" t="s">
        <v>310</v>
      </c>
      <c r="C1186" t="s">
        <v>1225</v>
      </c>
    </row>
    <row r="1187" spans="1:3" x14ac:dyDescent="0.3">
      <c r="A1187" t="s">
        <v>320</v>
      </c>
      <c r="C1187" t="s">
        <v>1225</v>
      </c>
    </row>
    <row r="1188" spans="1:3" x14ac:dyDescent="0.3">
      <c r="A1188" t="s">
        <v>330</v>
      </c>
      <c r="C1188" t="s">
        <v>1225</v>
      </c>
    </row>
    <row r="1189" spans="1:3" x14ac:dyDescent="0.3">
      <c r="A1189" t="s">
        <v>341</v>
      </c>
      <c r="C1189" t="s">
        <v>1225</v>
      </c>
    </row>
    <row r="1190" spans="1:3" x14ac:dyDescent="0.3">
      <c r="A1190" t="s">
        <v>349</v>
      </c>
      <c r="C1190" t="s">
        <v>1225</v>
      </c>
    </row>
    <row r="1191" spans="1:3" x14ac:dyDescent="0.3">
      <c r="A1191" t="s">
        <v>359</v>
      </c>
      <c r="C1191" t="s">
        <v>1225</v>
      </c>
    </row>
    <row r="1192" spans="1:3" x14ac:dyDescent="0.3">
      <c r="A1192" t="s">
        <v>366</v>
      </c>
      <c r="C1192" t="s">
        <v>1225</v>
      </c>
    </row>
    <row r="1193" spans="1:3" x14ac:dyDescent="0.3">
      <c r="A1193" t="s">
        <v>376</v>
      </c>
      <c r="C1193" t="s">
        <v>1225</v>
      </c>
    </row>
    <row r="1194" spans="1:3" x14ac:dyDescent="0.3">
      <c r="A1194" t="s">
        <v>385</v>
      </c>
      <c r="C1194" t="s">
        <v>1225</v>
      </c>
    </row>
    <row r="1195" spans="1:3" x14ac:dyDescent="0.3">
      <c r="A1195" t="s">
        <v>394</v>
      </c>
      <c r="C1195" t="s">
        <v>1225</v>
      </c>
    </row>
    <row r="1196" spans="1:3" x14ac:dyDescent="0.3">
      <c r="A1196" t="s">
        <v>402</v>
      </c>
      <c r="C1196" t="s">
        <v>1225</v>
      </c>
    </row>
    <row r="1197" spans="1:3" x14ac:dyDescent="0.3">
      <c r="A1197" t="s">
        <v>411</v>
      </c>
      <c r="C1197" t="s">
        <v>1234</v>
      </c>
    </row>
    <row r="1198" spans="1:3" x14ac:dyDescent="0.3">
      <c r="A1198" t="s">
        <v>420</v>
      </c>
      <c r="C1198" t="s">
        <v>548</v>
      </c>
    </row>
    <row r="1199" spans="1:3" x14ac:dyDescent="0.3">
      <c r="A1199" t="s">
        <v>427</v>
      </c>
      <c r="C1199" t="s">
        <v>638</v>
      </c>
    </row>
    <row r="1200" spans="1:3" x14ac:dyDescent="0.3">
      <c r="A1200" t="s">
        <v>436</v>
      </c>
      <c r="C1200" t="s">
        <v>539</v>
      </c>
    </row>
    <row r="1201" spans="1:3" x14ac:dyDescent="0.3">
      <c r="A1201" t="s">
        <v>442</v>
      </c>
      <c r="C1201" t="s">
        <v>2044</v>
      </c>
    </row>
    <row r="1202" spans="1:3" x14ac:dyDescent="0.3">
      <c r="A1202" t="s">
        <v>448</v>
      </c>
      <c r="C1202" t="s">
        <v>1226</v>
      </c>
    </row>
    <row r="1203" spans="1:3" x14ac:dyDescent="0.3">
      <c r="A1203" t="s">
        <v>455</v>
      </c>
      <c r="C1203" t="s">
        <v>1224</v>
      </c>
    </row>
    <row r="1204" spans="1:3" x14ac:dyDescent="0.3">
      <c r="A1204" t="s">
        <v>464</v>
      </c>
      <c r="C1204" t="s">
        <v>638</v>
      </c>
    </row>
    <row r="1205" spans="1:3" x14ac:dyDescent="0.3">
      <c r="A1205" t="s">
        <v>469</v>
      </c>
      <c r="C1205" t="s">
        <v>638</v>
      </c>
    </row>
    <row r="1206" spans="1:3" x14ac:dyDescent="0.3">
      <c r="A1206" t="s">
        <v>474</v>
      </c>
      <c r="C1206" t="s">
        <v>1226</v>
      </c>
    </row>
    <row r="1207" spans="1:3" x14ac:dyDescent="0.3">
      <c r="A1207" t="s">
        <v>480</v>
      </c>
      <c r="C1207" t="s">
        <v>548</v>
      </c>
    </row>
    <row r="1208" spans="1:3" x14ac:dyDescent="0.3">
      <c r="A1208" t="s">
        <v>490</v>
      </c>
      <c r="C1208" t="s">
        <v>548</v>
      </c>
    </row>
    <row r="1209" spans="1:3" x14ac:dyDescent="0.3">
      <c r="A1209" t="s">
        <v>495</v>
      </c>
      <c r="C1209" t="s">
        <v>575</v>
      </c>
    </row>
    <row r="1210" spans="1:3" x14ac:dyDescent="0.3">
      <c r="A1210" t="s">
        <v>503</v>
      </c>
      <c r="C1210" t="s">
        <v>575</v>
      </c>
    </row>
    <row r="1211" spans="1:3" x14ac:dyDescent="0.3">
      <c r="A1211" t="s">
        <v>510</v>
      </c>
      <c r="C1211" t="s">
        <v>1226</v>
      </c>
    </row>
    <row r="1212" spans="1:3" x14ac:dyDescent="0.3">
      <c r="A1212" t="s">
        <v>515</v>
      </c>
      <c r="C1212" t="s">
        <v>1226</v>
      </c>
    </row>
    <row r="1213" spans="1:3" x14ac:dyDescent="0.3">
      <c r="A1213" t="s">
        <v>523</v>
      </c>
      <c r="C1213" t="s">
        <v>1226</v>
      </c>
    </row>
    <row r="1214" spans="1:3" x14ac:dyDescent="0.3">
      <c r="A1214" t="s">
        <v>533</v>
      </c>
      <c r="C1214" t="s">
        <v>638</v>
      </c>
    </row>
    <row r="1215" spans="1:3" x14ac:dyDescent="0.3">
      <c r="A1215" t="s">
        <v>543</v>
      </c>
      <c r="C1215" t="s">
        <v>575</v>
      </c>
    </row>
    <row r="1216" spans="1:3" x14ac:dyDescent="0.3">
      <c r="A1216" t="s">
        <v>552</v>
      </c>
      <c r="C1216" t="s">
        <v>638</v>
      </c>
    </row>
    <row r="1217" spans="1:3" x14ac:dyDescent="0.3">
      <c r="A1217" t="s">
        <v>560</v>
      </c>
      <c r="C1217" t="s">
        <v>1234</v>
      </c>
    </row>
    <row r="1218" spans="1:3" x14ac:dyDescent="0.3">
      <c r="A1218" t="s">
        <v>565</v>
      </c>
      <c r="C1218" t="s">
        <v>1228</v>
      </c>
    </row>
    <row r="1219" spans="1:3" x14ac:dyDescent="0.3">
      <c r="A1219" t="s">
        <v>572</v>
      </c>
      <c r="C1219" t="s">
        <v>539</v>
      </c>
    </row>
    <row r="1220" spans="1:3" x14ac:dyDescent="0.3">
      <c r="A1220" t="s">
        <v>577</v>
      </c>
      <c r="B1220" t="s">
        <v>1202</v>
      </c>
    </row>
    <row r="1221" spans="1:3" x14ac:dyDescent="0.3">
      <c r="A1221" t="s">
        <v>584</v>
      </c>
      <c r="B1221" t="s">
        <v>575</v>
      </c>
    </row>
    <row r="1222" spans="1:3" x14ac:dyDescent="0.3">
      <c r="A1222" t="s">
        <v>591</v>
      </c>
      <c r="B1222" t="s">
        <v>1226</v>
      </c>
    </row>
    <row r="1223" spans="1:3" x14ac:dyDescent="0.3">
      <c r="A1223" t="s">
        <v>600</v>
      </c>
      <c r="B1223" t="s">
        <v>638</v>
      </c>
    </row>
    <row r="1224" spans="1:3" x14ac:dyDescent="0.3">
      <c r="A1224" t="s">
        <v>606</v>
      </c>
      <c r="B1224" t="s">
        <v>1226</v>
      </c>
    </row>
    <row r="1225" spans="1:3" x14ac:dyDescent="0.3">
      <c r="A1225" t="s">
        <v>614</v>
      </c>
      <c r="B1225" t="s">
        <v>1226</v>
      </c>
    </row>
    <row r="1226" spans="1:3" x14ac:dyDescent="0.3">
      <c r="A1226" t="s">
        <v>624</v>
      </c>
      <c r="B1226" t="s">
        <v>1226</v>
      </c>
    </row>
    <row r="1227" spans="1:3" x14ac:dyDescent="0.3">
      <c r="A1227" t="s">
        <v>633</v>
      </c>
      <c r="B1227" t="s">
        <v>548</v>
      </c>
    </row>
    <row r="1228" spans="1:3" x14ac:dyDescent="0.3">
      <c r="A1228" t="s">
        <v>642</v>
      </c>
      <c r="B1228" t="s">
        <v>548</v>
      </c>
    </row>
    <row r="1229" spans="1:3" x14ac:dyDescent="0.3">
      <c r="A1229" t="s">
        <v>652</v>
      </c>
      <c r="B1229" t="s">
        <v>575</v>
      </c>
    </row>
    <row r="1230" spans="1:3" x14ac:dyDescent="0.3">
      <c r="A1230" t="s">
        <v>660</v>
      </c>
      <c r="B1230" t="s">
        <v>539</v>
      </c>
    </row>
    <row r="1231" spans="1:3" x14ac:dyDescent="0.3">
      <c r="A1231" t="s">
        <v>666</v>
      </c>
      <c r="B1231" t="s">
        <v>575</v>
      </c>
    </row>
    <row r="1232" spans="1:3" x14ac:dyDescent="0.3">
      <c r="A1232" t="s">
        <v>676</v>
      </c>
      <c r="B1232" t="s">
        <v>638</v>
      </c>
    </row>
    <row r="1233" spans="1:2" x14ac:dyDescent="0.3">
      <c r="A1233" t="s">
        <v>680</v>
      </c>
      <c r="B1233" t="s">
        <v>1086</v>
      </c>
    </row>
    <row r="1234" spans="1:2" x14ac:dyDescent="0.3">
      <c r="A1234" t="s">
        <v>686</v>
      </c>
      <c r="B1234" t="s">
        <v>638</v>
      </c>
    </row>
    <row r="1235" spans="1:2" x14ac:dyDescent="0.3">
      <c r="A1235" t="s">
        <v>692</v>
      </c>
      <c r="B1235" t="s">
        <v>638</v>
      </c>
    </row>
    <row r="1236" spans="1:2" x14ac:dyDescent="0.3">
      <c r="A1236" t="s">
        <v>697</v>
      </c>
      <c r="B1236" t="s">
        <v>1086</v>
      </c>
    </row>
    <row r="1237" spans="1:2" x14ac:dyDescent="0.3">
      <c r="A1237" t="s">
        <v>703</v>
      </c>
      <c r="B1237" t="s">
        <v>548</v>
      </c>
    </row>
    <row r="1238" spans="1:2" x14ac:dyDescent="0.3">
      <c r="A1238" t="s">
        <v>709</v>
      </c>
      <c r="B1238" t="s">
        <v>638</v>
      </c>
    </row>
    <row r="1239" spans="1:2" x14ac:dyDescent="0.3">
      <c r="A1239" t="s">
        <v>718</v>
      </c>
      <c r="B1239" t="s">
        <v>638</v>
      </c>
    </row>
    <row r="1240" spans="1:2" x14ac:dyDescent="0.3">
      <c r="A1240" t="s">
        <v>726</v>
      </c>
      <c r="B1240" t="s">
        <v>1228</v>
      </c>
    </row>
    <row r="1241" spans="1:2" x14ac:dyDescent="0.3">
      <c r="A1241" t="s">
        <v>734</v>
      </c>
      <c r="B1241" t="s">
        <v>1086</v>
      </c>
    </row>
    <row r="1242" spans="1:2" x14ac:dyDescent="0.3">
      <c r="A1242" t="s">
        <v>738</v>
      </c>
      <c r="B1242" t="s">
        <v>575</v>
      </c>
    </row>
    <row r="1243" spans="1:2" x14ac:dyDescent="0.3">
      <c r="A1243" t="s">
        <v>747</v>
      </c>
      <c r="B1243" t="s">
        <v>1086</v>
      </c>
    </row>
    <row r="1244" spans="1:2" x14ac:dyDescent="0.3">
      <c r="A1244" t="s">
        <v>754</v>
      </c>
      <c r="B1244" t="s">
        <v>1234</v>
      </c>
    </row>
    <row r="1245" spans="1:2" x14ac:dyDescent="0.3">
      <c r="A1245" t="s">
        <v>762</v>
      </c>
      <c r="B1245" t="s">
        <v>539</v>
      </c>
    </row>
    <row r="1246" spans="1:2" x14ac:dyDescent="0.3">
      <c r="A1246" t="s">
        <v>772</v>
      </c>
      <c r="B1246" t="s">
        <v>575</v>
      </c>
    </row>
    <row r="1247" spans="1:2" x14ac:dyDescent="0.3">
      <c r="A1247" t="s">
        <v>780</v>
      </c>
      <c r="B1247" t="s">
        <v>539</v>
      </c>
    </row>
    <row r="1248" spans="1:2" x14ac:dyDescent="0.3">
      <c r="A1248" t="s">
        <v>785</v>
      </c>
      <c r="B1248" t="s">
        <v>638</v>
      </c>
    </row>
    <row r="1249" spans="1:2" x14ac:dyDescent="0.3">
      <c r="A1249" t="s">
        <v>791</v>
      </c>
      <c r="B1249" t="s">
        <v>1234</v>
      </c>
    </row>
    <row r="1250" spans="1:2" x14ac:dyDescent="0.3">
      <c r="A1250" t="s">
        <v>802</v>
      </c>
      <c r="B1250" t="s">
        <v>638</v>
      </c>
    </row>
    <row r="1251" spans="1:2" x14ac:dyDescent="0.3">
      <c r="A1251" t="s">
        <v>807</v>
      </c>
      <c r="B1251" t="s">
        <v>539</v>
      </c>
    </row>
    <row r="1252" spans="1:2" x14ac:dyDescent="0.3">
      <c r="A1252" t="s">
        <v>812</v>
      </c>
      <c r="B1252" t="s">
        <v>1086</v>
      </c>
    </row>
    <row r="1253" spans="1:2" x14ac:dyDescent="0.3">
      <c r="A1253" t="s">
        <v>820</v>
      </c>
      <c r="B1253" t="s">
        <v>1086</v>
      </c>
    </row>
    <row r="1254" spans="1:2" x14ac:dyDescent="0.3">
      <c r="A1254" t="s">
        <v>827</v>
      </c>
      <c r="B1254" t="s">
        <v>1086</v>
      </c>
    </row>
    <row r="1255" spans="1:2" x14ac:dyDescent="0.3">
      <c r="A1255" t="s">
        <v>835</v>
      </c>
      <c r="B1255" t="s">
        <v>575</v>
      </c>
    </row>
    <row r="1256" spans="1:2" x14ac:dyDescent="0.3">
      <c r="A1256" t="s">
        <v>839</v>
      </c>
      <c r="B1256" t="s">
        <v>548</v>
      </c>
    </row>
    <row r="1257" spans="1:2" x14ac:dyDescent="0.3">
      <c r="A1257" t="s">
        <v>846</v>
      </c>
      <c r="B1257" t="s">
        <v>1226</v>
      </c>
    </row>
    <row r="1258" spans="1:2" x14ac:dyDescent="0.3">
      <c r="A1258" t="s">
        <v>852</v>
      </c>
      <c r="B1258" t="s">
        <v>638</v>
      </c>
    </row>
    <row r="1259" spans="1:2" x14ac:dyDescent="0.3">
      <c r="A1259" t="s">
        <v>856</v>
      </c>
      <c r="B1259" t="s">
        <v>548</v>
      </c>
    </row>
    <row r="1260" spans="1:2" x14ac:dyDescent="0.3">
      <c r="A1260" t="s">
        <v>860</v>
      </c>
      <c r="B1260" t="s">
        <v>1086</v>
      </c>
    </row>
    <row r="1261" spans="1:2" x14ac:dyDescent="0.3">
      <c r="A1261" t="s">
        <v>864</v>
      </c>
      <c r="B1261" t="s">
        <v>1234</v>
      </c>
    </row>
    <row r="1262" spans="1:2" x14ac:dyDescent="0.3">
      <c r="A1262" t="s">
        <v>869</v>
      </c>
      <c r="B1262" t="s">
        <v>1226</v>
      </c>
    </row>
    <row r="1263" spans="1:2" x14ac:dyDescent="0.3">
      <c r="A1263" t="s">
        <v>875</v>
      </c>
      <c r="B1263" t="s">
        <v>548</v>
      </c>
    </row>
    <row r="1264" spans="1:2" x14ac:dyDescent="0.3">
      <c r="A1264" t="s">
        <v>883</v>
      </c>
      <c r="B1264" t="s">
        <v>1224</v>
      </c>
    </row>
    <row r="1265" spans="1:2" x14ac:dyDescent="0.3">
      <c r="A1265" t="s">
        <v>888</v>
      </c>
      <c r="B1265" t="s">
        <v>1226</v>
      </c>
    </row>
    <row r="1266" spans="1:2" x14ac:dyDescent="0.3">
      <c r="A1266" t="s">
        <v>894</v>
      </c>
      <c r="B1266" t="s">
        <v>575</v>
      </c>
    </row>
    <row r="1267" spans="1:2" x14ac:dyDescent="0.3">
      <c r="A1267" t="s">
        <v>902</v>
      </c>
      <c r="B1267" t="s">
        <v>1086</v>
      </c>
    </row>
    <row r="1268" spans="1:2" x14ac:dyDescent="0.3">
      <c r="A1268" t="s">
        <v>910</v>
      </c>
      <c r="B1268" t="s">
        <v>1234</v>
      </c>
    </row>
    <row r="1269" spans="1:2" x14ac:dyDescent="0.3">
      <c r="A1269" t="s">
        <v>915</v>
      </c>
      <c r="B1269" t="s">
        <v>575</v>
      </c>
    </row>
    <row r="1270" spans="1:2" x14ac:dyDescent="0.3">
      <c r="A1270" t="s">
        <v>921</v>
      </c>
      <c r="B1270" t="s">
        <v>1224</v>
      </c>
    </row>
    <row r="1271" spans="1:2" x14ac:dyDescent="0.3">
      <c r="A1271" t="s">
        <v>928</v>
      </c>
      <c r="B1271" t="s">
        <v>850</v>
      </c>
    </row>
    <row r="1272" spans="1:2" x14ac:dyDescent="0.3">
      <c r="A1272" t="s">
        <v>936</v>
      </c>
      <c r="B1272" t="s">
        <v>1086</v>
      </c>
    </row>
    <row r="1273" spans="1:2" x14ac:dyDescent="0.3">
      <c r="A1273" t="s">
        <v>941</v>
      </c>
      <c r="B1273" t="s">
        <v>52</v>
      </c>
    </row>
    <row r="1274" spans="1:2" x14ac:dyDescent="0.3">
      <c r="A1274" t="s">
        <v>947</v>
      </c>
      <c r="B1274" t="s">
        <v>52</v>
      </c>
    </row>
    <row r="1275" spans="1:2" x14ac:dyDescent="0.3">
      <c r="A1275" t="s">
        <v>953</v>
      </c>
      <c r="B1275" t="s">
        <v>52</v>
      </c>
    </row>
    <row r="1276" spans="1:2" x14ac:dyDescent="0.3">
      <c r="A1276" t="s">
        <v>958</v>
      </c>
      <c r="B1276" t="s">
        <v>52</v>
      </c>
    </row>
    <row r="1277" spans="1:2" x14ac:dyDescent="0.3">
      <c r="A1277" t="s">
        <v>962</v>
      </c>
      <c r="B1277" t="s">
        <v>638</v>
      </c>
    </row>
    <row r="1278" spans="1:2" x14ac:dyDescent="0.3">
      <c r="A1278" t="s">
        <v>968</v>
      </c>
      <c r="B1278" t="s">
        <v>638</v>
      </c>
    </row>
    <row r="1279" spans="1:2" x14ac:dyDescent="0.3">
      <c r="A1279" t="s">
        <v>972</v>
      </c>
      <c r="B1279" t="s">
        <v>638</v>
      </c>
    </row>
    <row r="1280" spans="1:2" x14ac:dyDescent="0.3">
      <c r="A1280" t="s">
        <v>978</v>
      </c>
      <c r="B1280" t="s">
        <v>1202</v>
      </c>
    </row>
    <row r="1281" spans="1:2" x14ac:dyDescent="0.3">
      <c r="A1281" t="s">
        <v>983</v>
      </c>
      <c r="B1281" t="s">
        <v>638</v>
      </c>
    </row>
    <row r="1282" spans="1:2" x14ac:dyDescent="0.3">
      <c r="A1282" t="s">
        <v>987</v>
      </c>
      <c r="B1282" t="s">
        <v>1234</v>
      </c>
    </row>
    <row r="1283" spans="1:2" x14ac:dyDescent="0.3">
      <c r="A1283" t="s">
        <v>991</v>
      </c>
      <c r="B1283" t="s">
        <v>575</v>
      </c>
    </row>
    <row r="1284" spans="1:2" x14ac:dyDescent="0.3">
      <c r="A1284" t="s">
        <v>996</v>
      </c>
      <c r="B1284" t="s">
        <v>539</v>
      </c>
    </row>
    <row r="1285" spans="1:2" x14ac:dyDescent="0.3">
      <c r="A1285" t="s">
        <v>1001</v>
      </c>
      <c r="B1285" t="s">
        <v>1228</v>
      </c>
    </row>
    <row r="1286" spans="1:2" x14ac:dyDescent="0.3">
      <c r="A1286" t="s">
        <v>1011</v>
      </c>
      <c r="B1286" t="s">
        <v>638</v>
      </c>
    </row>
    <row r="1287" spans="1:2" x14ac:dyDescent="0.3">
      <c r="A1287" t="s">
        <v>1018</v>
      </c>
      <c r="B1287" t="s">
        <v>1228</v>
      </c>
    </row>
    <row r="1288" spans="1:2" x14ac:dyDescent="0.3">
      <c r="A1288" t="s">
        <v>1028</v>
      </c>
      <c r="B1288" t="s">
        <v>1228</v>
      </c>
    </row>
    <row r="1289" spans="1:2" x14ac:dyDescent="0.3">
      <c r="A1289" t="s">
        <v>1035</v>
      </c>
      <c r="B1289" t="s">
        <v>1228</v>
      </c>
    </row>
    <row r="1290" spans="1:2" x14ac:dyDescent="0.3">
      <c r="A1290" t="s">
        <v>1039</v>
      </c>
      <c r="B1290" t="s">
        <v>638</v>
      </c>
    </row>
    <row r="1291" spans="1:2" x14ac:dyDescent="0.3">
      <c r="A1291" t="s">
        <v>1046</v>
      </c>
      <c r="B1291" t="s">
        <v>1234</v>
      </c>
    </row>
    <row r="1292" spans="1:2" x14ac:dyDescent="0.3">
      <c r="A1292" t="s">
        <v>1052</v>
      </c>
      <c r="B1292" t="s">
        <v>1228</v>
      </c>
    </row>
    <row r="1293" spans="1:2" x14ac:dyDescent="0.3">
      <c r="A1293" t="s">
        <v>1059</v>
      </c>
      <c r="B1293" t="s">
        <v>1228</v>
      </c>
    </row>
    <row r="1294" spans="1:2" x14ac:dyDescent="0.3">
      <c r="A1294" t="s">
        <v>1064</v>
      </c>
      <c r="B1294" t="s">
        <v>1234</v>
      </c>
    </row>
    <row r="1295" spans="1:2" x14ac:dyDescent="0.3">
      <c r="A1295" t="s">
        <v>1069</v>
      </c>
      <c r="B1295" t="s">
        <v>638</v>
      </c>
    </row>
    <row r="1296" spans="1:2" x14ac:dyDescent="0.3">
      <c r="A1296" t="s">
        <v>1073</v>
      </c>
      <c r="B1296" t="s">
        <v>638</v>
      </c>
    </row>
    <row r="1297" spans="1:2" x14ac:dyDescent="0.3">
      <c r="A1297" t="s">
        <v>1079</v>
      </c>
      <c r="B1297" t="s">
        <v>1228</v>
      </c>
    </row>
    <row r="1298" spans="1:2" x14ac:dyDescent="0.3">
      <c r="A1298" t="s">
        <v>1084</v>
      </c>
      <c r="B1298" t="s">
        <v>539</v>
      </c>
    </row>
    <row r="1299" spans="1:2" x14ac:dyDescent="0.3">
      <c r="A1299" t="s">
        <v>1089</v>
      </c>
      <c r="B1299" t="s">
        <v>1228</v>
      </c>
    </row>
    <row r="1300" spans="1:2" x14ac:dyDescent="0.3">
      <c r="A1300" t="s">
        <v>1095</v>
      </c>
      <c r="B1300" t="s">
        <v>1228</v>
      </c>
    </row>
    <row r="1301" spans="1:2" x14ac:dyDescent="0.3">
      <c r="A1301" t="s">
        <v>1101</v>
      </c>
      <c r="B1301" t="s">
        <v>1228</v>
      </c>
    </row>
    <row r="1302" spans="1:2" x14ac:dyDescent="0.3">
      <c r="A1302" t="s">
        <v>1106</v>
      </c>
      <c r="B1302" t="s">
        <v>1086</v>
      </c>
    </row>
    <row r="1303" spans="1:2" x14ac:dyDescent="0.3">
      <c r="A1303" t="s">
        <v>1110</v>
      </c>
      <c r="B1303" t="s">
        <v>1224</v>
      </c>
    </row>
    <row r="1304" spans="1:2" x14ac:dyDescent="0.3">
      <c r="A1304" t="s">
        <v>1117</v>
      </c>
      <c r="B1304" t="s">
        <v>539</v>
      </c>
    </row>
    <row r="1305" spans="1:2" x14ac:dyDescent="0.3">
      <c r="A1305" t="s">
        <v>1123</v>
      </c>
      <c r="B1305" t="s">
        <v>1228</v>
      </c>
    </row>
    <row r="1306" spans="1:2" x14ac:dyDescent="0.3">
      <c r="A1306" t="s">
        <v>1127</v>
      </c>
      <c r="B1306" t="s">
        <v>1228</v>
      </c>
    </row>
    <row r="1307" spans="1:2" x14ac:dyDescent="0.3">
      <c r="A1307" t="s">
        <v>1134</v>
      </c>
      <c r="B1307" t="s">
        <v>1228</v>
      </c>
    </row>
    <row r="1308" spans="1:2" x14ac:dyDescent="0.3">
      <c r="A1308" t="s">
        <v>1140</v>
      </c>
      <c r="B1308" t="s">
        <v>1225</v>
      </c>
    </row>
    <row r="1309" spans="1:2" x14ac:dyDescent="0.3">
      <c r="A1309" t="s">
        <v>1144</v>
      </c>
      <c r="B1309" t="s">
        <v>1231</v>
      </c>
    </row>
    <row r="1310" spans="1:2" x14ac:dyDescent="0.3">
      <c r="A1310" t="s">
        <v>1151</v>
      </c>
      <c r="B1310" t="s">
        <v>1232</v>
      </c>
    </row>
    <row r="1311" spans="1:2" x14ac:dyDescent="0.3">
      <c r="A1311" t="s">
        <v>1159</v>
      </c>
      <c r="B1311" t="s">
        <v>549</v>
      </c>
    </row>
    <row r="1312" spans="1:2" x14ac:dyDescent="0.3">
      <c r="A1312" t="s">
        <v>1166</v>
      </c>
      <c r="B1312" t="s">
        <v>638</v>
      </c>
    </row>
    <row r="1313" spans="1:5" x14ac:dyDescent="0.3">
      <c r="A1313" t="s">
        <v>1172</v>
      </c>
      <c r="B1313" t="s">
        <v>638</v>
      </c>
    </row>
    <row r="1314" spans="1:5" x14ac:dyDescent="0.3">
      <c r="A1314" t="s">
        <v>1181</v>
      </c>
      <c r="B1314" t="s">
        <v>1224</v>
      </c>
    </row>
    <row r="1316" spans="1:5" x14ac:dyDescent="0.3">
      <c r="A1316" s="23" t="s">
        <v>2045</v>
      </c>
      <c r="B1316" s="24"/>
      <c r="C1316" s="24"/>
      <c r="D1316" s="24"/>
      <c r="E1316" s="24"/>
    </row>
    <row r="1317" spans="1:5" x14ac:dyDescent="0.3">
      <c r="B1317" t="s">
        <v>2046</v>
      </c>
    </row>
    <row r="1318" spans="1:5" x14ac:dyDescent="0.3">
      <c r="B1318" t="s">
        <v>2047</v>
      </c>
    </row>
    <row r="1319" spans="1:5" x14ac:dyDescent="0.3">
      <c r="A1319" t="s">
        <v>39</v>
      </c>
      <c r="B1319" t="s">
        <v>2048</v>
      </c>
    </row>
    <row r="1320" spans="1:5" x14ac:dyDescent="0.3">
      <c r="A1320" t="s">
        <v>176</v>
      </c>
      <c r="B1320" t="s">
        <v>488</v>
      </c>
    </row>
    <row r="1321" spans="1:5" x14ac:dyDescent="0.3">
      <c r="A1321" t="s">
        <v>291</v>
      </c>
      <c r="B1321" t="s">
        <v>488</v>
      </c>
    </row>
    <row r="1322" spans="1:5" x14ac:dyDescent="0.3">
      <c r="A1322" t="s">
        <v>394</v>
      </c>
      <c r="B1322" t="s">
        <v>488</v>
      </c>
    </row>
    <row r="1323" spans="1:5" x14ac:dyDescent="0.3">
      <c r="A1323" t="s">
        <v>480</v>
      </c>
      <c r="B1323" t="s">
        <v>488</v>
      </c>
    </row>
    <row r="1324" spans="1:5" x14ac:dyDescent="0.3">
      <c r="A1324" t="s">
        <v>572</v>
      </c>
      <c r="B1324" t="s">
        <v>488</v>
      </c>
    </row>
    <row r="1325" spans="1:5" x14ac:dyDescent="0.3">
      <c r="A1325" t="s">
        <v>666</v>
      </c>
      <c r="B1325" t="s">
        <v>488</v>
      </c>
    </row>
    <row r="1326" spans="1:5" x14ac:dyDescent="0.3">
      <c r="A1326" t="s">
        <v>747</v>
      </c>
      <c r="B1326" t="s">
        <v>488</v>
      </c>
    </row>
    <row r="1327" spans="1:5" x14ac:dyDescent="0.3">
      <c r="A1327" t="s">
        <v>835</v>
      </c>
      <c r="B1327" t="s">
        <v>488</v>
      </c>
    </row>
    <row r="1328" spans="1:5" x14ac:dyDescent="0.3">
      <c r="A1328" t="s">
        <v>902</v>
      </c>
      <c r="B1328" t="s">
        <v>488</v>
      </c>
    </row>
    <row r="1329" spans="1:17" x14ac:dyDescent="0.3">
      <c r="A1329" t="s">
        <v>972</v>
      </c>
      <c r="B1329" t="s">
        <v>488</v>
      </c>
    </row>
    <row r="1330" spans="1:17" x14ac:dyDescent="0.3">
      <c r="A1330" t="s">
        <v>1046</v>
      </c>
      <c r="B1330" t="s">
        <v>488</v>
      </c>
    </row>
    <row r="1331" spans="1:17" x14ac:dyDescent="0.3">
      <c r="A1331" t="s">
        <v>1110</v>
      </c>
      <c r="B1331" t="s">
        <v>488</v>
      </c>
    </row>
    <row r="1333" spans="1:17" x14ac:dyDescent="0.3">
      <c r="A1333" s="23" t="s">
        <v>2049</v>
      </c>
      <c r="B1333" s="24"/>
      <c r="C1333" s="24"/>
      <c r="D1333" s="24"/>
      <c r="E1333" s="24"/>
    </row>
    <row r="1334" spans="1:17" x14ac:dyDescent="0.3">
      <c r="B1334" t="s">
        <v>2050</v>
      </c>
      <c r="C1334" t="s">
        <v>2050</v>
      </c>
      <c r="D1334" t="s">
        <v>2051</v>
      </c>
      <c r="E1334" t="s">
        <v>2051</v>
      </c>
      <c r="F1334" t="s">
        <v>2052</v>
      </c>
      <c r="G1334" t="s">
        <v>2052</v>
      </c>
      <c r="H1334" t="s">
        <v>2053</v>
      </c>
      <c r="I1334" t="s">
        <v>2053</v>
      </c>
      <c r="J1334" t="s">
        <v>2054</v>
      </c>
      <c r="K1334" t="s">
        <v>2054</v>
      </c>
      <c r="L1334" t="s">
        <v>2055</v>
      </c>
      <c r="O1334" t="s">
        <v>2055</v>
      </c>
      <c r="P1334" t="s">
        <v>2056</v>
      </c>
      <c r="Q1334" t="s">
        <v>2057</v>
      </c>
    </row>
    <row r="1335" spans="1:17" x14ac:dyDescent="0.3">
      <c r="B1335" t="s">
        <v>2058</v>
      </c>
      <c r="C1335" t="s">
        <v>2059</v>
      </c>
      <c r="D1335" t="s">
        <v>2058</v>
      </c>
      <c r="E1335" t="s">
        <v>2059</v>
      </c>
      <c r="F1335" t="s">
        <v>2058</v>
      </c>
      <c r="G1335" t="s">
        <v>2059</v>
      </c>
      <c r="H1335" t="s">
        <v>2058</v>
      </c>
      <c r="I1335" t="s">
        <v>2059</v>
      </c>
      <c r="J1335" t="s">
        <v>2058</v>
      </c>
      <c r="K1335" t="s">
        <v>2059</v>
      </c>
      <c r="L1335" t="s">
        <v>2058</v>
      </c>
      <c r="O1335" t="s">
        <v>2059</v>
      </c>
      <c r="P1335" t="s">
        <v>2060</v>
      </c>
      <c r="Q1335" t="s">
        <v>2061</v>
      </c>
    </row>
    <row r="1336" spans="1:17" x14ac:dyDescent="0.3">
      <c r="A1336" t="s">
        <v>39</v>
      </c>
      <c r="B1336" t="s">
        <v>2062</v>
      </c>
      <c r="C1336" t="s">
        <v>2062</v>
      </c>
      <c r="D1336" t="s">
        <v>2062</v>
      </c>
      <c r="E1336" t="s">
        <v>2062</v>
      </c>
      <c r="F1336" t="s">
        <v>2062</v>
      </c>
      <c r="G1336" t="s">
        <v>2062</v>
      </c>
      <c r="H1336" t="s">
        <v>2062</v>
      </c>
      <c r="I1336" t="s">
        <v>2062</v>
      </c>
      <c r="J1336" t="s">
        <v>2062</v>
      </c>
      <c r="K1336" t="s">
        <v>2062</v>
      </c>
      <c r="L1336" t="s">
        <v>2062</v>
      </c>
      <c r="O1336" t="s">
        <v>2062</v>
      </c>
      <c r="P1336" t="s">
        <v>2063</v>
      </c>
      <c r="Q1336" t="s">
        <v>2064</v>
      </c>
    </row>
    <row r="1337" spans="1:17" x14ac:dyDescent="0.3">
      <c r="A1337" t="s">
        <v>176</v>
      </c>
      <c r="C1337" t="s">
        <v>52</v>
      </c>
      <c r="E1337" t="s">
        <v>52</v>
      </c>
      <c r="G1337" t="s">
        <v>2065</v>
      </c>
      <c r="I1337" t="s">
        <v>52</v>
      </c>
      <c r="K1337" t="s">
        <v>52</v>
      </c>
      <c r="O1337" t="s">
        <v>2065</v>
      </c>
      <c r="P1337" t="s">
        <v>52</v>
      </c>
      <c r="Q1337" t="s">
        <v>52</v>
      </c>
    </row>
    <row r="1338" spans="1:17" x14ac:dyDescent="0.3">
      <c r="A1338" t="s">
        <v>291</v>
      </c>
      <c r="C1338" t="s">
        <v>52</v>
      </c>
      <c r="E1338" t="s">
        <v>52</v>
      </c>
      <c r="G1338" t="s">
        <v>2066</v>
      </c>
      <c r="I1338" t="s">
        <v>52</v>
      </c>
      <c r="K1338" t="s">
        <v>52</v>
      </c>
      <c r="O1338" t="s">
        <v>2066</v>
      </c>
      <c r="P1338" t="s">
        <v>52</v>
      </c>
      <c r="Q1338" t="s">
        <v>52</v>
      </c>
    </row>
    <row r="1339" spans="1:17" x14ac:dyDescent="0.3">
      <c r="A1339" t="s">
        <v>394</v>
      </c>
      <c r="C1339" t="s">
        <v>52</v>
      </c>
      <c r="E1339" t="s">
        <v>52</v>
      </c>
      <c r="G1339" t="s">
        <v>2067</v>
      </c>
      <c r="I1339" t="s">
        <v>52</v>
      </c>
      <c r="K1339" t="s">
        <v>52</v>
      </c>
      <c r="O1339" t="s">
        <v>2067</v>
      </c>
      <c r="P1339" t="s">
        <v>52</v>
      </c>
      <c r="Q1339" t="s">
        <v>52</v>
      </c>
    </row>
    <row r="1340" spans="1:17" x14ac:dyDescent="0.3">
      <c r="A1340" t="s">
        <v>480</v>
      </c>
      <c r="C1340" t="s">
        <v>52</v>
      </c>
      <c r="E1340" t="s">
        <v>52</v>
      </c>
      <c r="G1340" t="s">
        <v>2068</v>
      </c>
      <c r="I1340" t="s">
        <v>52</v>
      </c>
      <c r="K1340" t="s">
        <v>52</v>
      </c>
      <c r="O1340" t="s">
        <v>2068</v>
      </c>
      <c r="P1340" t="s">
        <v>52</v>
      </c>
      <c r="Q1340" t="s">
        <v>52</v>
      </c>
    </row>
    <row r="1341" spans="1:17" x14ac:dyDescent="0.3">
      <c r="A1341" t="s">
        <v>572</v>
      </c>
      <c r="C1341" t="s">
        <v>52</v>
      </c>
      <c r="E1341" t="s">
        <v>52</v>
      </c>
      <c r="G1341" t="s">
        <v>2069</v>
      </c>
      <c r="I1341" t="s">
        <v>52</v>
      </c>
      <c r="K1341" t="s">
        <v>52</v>
      </c>
      <c r="O1341" t="s">
        <v>2069</v>
      </c>
      <c r="P1341" t="s">
        <v>52</v>
      </c>
      <c r="Q1341" t="s">
        <v>52</v>
      </c>
    </row>
    <row r="1342" spans="1:17" x14ac:dyDescent="0.3">
      <c r="A1342" t="s">
        <v>666</v>
      </c>
      <c r="B1342" t="s">
        <v>52</v>
      </c>
      <c r="D1342" t="s">
        <v>52</v>
      </c>
      <c r="F1342" t="s">
        <v>2070</v>
      </c>
      <c r="H1342" t="s">
        <v>52</v>
      </c>
      <c r="J1342" t="s">
        <v>52</v>
      </c>
      <c r="L1342" t="s">
        <v>2070</v>
      </c>
      <c r="P1342" t="s">
        <v>52</v>
      </c>
      <c r="Q1342" t="s">
        <v>52</v>
      </c>
    </row>
    <row r="1343" spans="1:17" x14ac:dyDescent="0.3">
      <c r="A1343" t="s">
        <v>747</v>
      </c>
      <c r="B1343" t="s">
        <v>52</v>
      </c>
      <c r="D1343" t="s">
        <v>52</v>
      </c>
      <c r="F1343" t="s">
        <v>2071</v>
      </c>
      <c r="H1343" t="s">
        <v>52</v>
      </c>
      <c r="J1343" t="s">
        <v>52</v>
      </c>
      <c r="L1343" t="s">
        <v>2071</v>
      </c>
      <c r="P1343" t="s">
        <v>52</v>
      </c>
      <c r="Q1343" t="s">
        <v>52</v>
      </c>
    </row>
    <row r="1344" spans="1:17" x14ac:dyDescent="0.3">
      <c r="A1344" t="s">
        <v>835</v>
      </c>
      <c r="B1344" t="s">
        <v>52</v>
      </c>
      <c r="D1344" t="s">
        <v>52</v>
      </c>
      <c r="F1344" t="s">
        <v>2072</v>
      </c>
      <c r="H1344" t="s">
        <v>52</v>
      </c>
      <c r="J1344" t="s">
        <v>52</v>
      </c>
      <c r="L1344" t="s">
        <v>2072</v>
      </c>
      <c r="P1344" t="s">
        <v>2073</v>
      </c>
      <c r="Q1344" t="s">
        <v>52</v>
      </c>
    </row>
    <row r="1345" spans="1:17" x14ac:dyDescent="0.3">
      <c r="A1345" t="s">
        <v>902</v>
      </c>
      <c r="B1345" t="s">
        <v>52</v>
      </c>
      <c r="D1345" t="s">
        <v>52</v>
      </c>
      <c r="F1345" t="s">
        <v>2074</v>
      </c>
      <c r="H1345" t="s">
        <v>52</v>
      </c>
      <c r="J1345" t="s">
        <v>52</v>
      </c>
      <c r="L1345" t="s">
        <v>2074</v>
      </c>
      <c r="P1345" t="s">
        <v>52</v>
      </c>
      <c r="Q1345" t="s">
        <v>52</v>
      </c>
    </row>
    <row r="1346" spans="1:17" x14ac:dyDescent="0.3">
      <c r="A1346" t="s">
        <v>972</v>
      </c>
      <c r="B1346" t="s">
        <v>52</v>
      </c>
      <c r="D1346" t="s">
        <v>52</v>
      </c>
      <c r="F1346" t="s">
        <v>2075</v>
      </c>
      <c r="H1346" t="s">
        <v>52</v>
      </c>
      <c r="J1346" t="s">
        <v>52</v>
      </c>
      <c r="L1346" t="s">
        <v>2075</v>
      </c>
      <c r="P1346" t="s">
        <v>52</v>
      </c>
      <c r="Q1346" t="s">
        <v>52</v>
      </c>
    </row>
    <row r="1347" spans="1:17" x14ac:dyDescent="0.3">
      <c r="A1347" t="s">
        <v>1046</v>
      </c>
      <c r="B1347" t="s">
        <v>52</v>
      </c>
      <c r="D1347" t="s">
        <v>52</v>
      </c>
      <c r="F1347" t="s">
        <v>2076</v>
      </c>
      <c r="H1347" t="s">
        <v>52</v>
      </c>
      <c r="J1347" t="s">
        <v>52</v>
      </c>
      <c r="L1347" t="s">
        <v>2076</v>
      </c>
      <c r="P1347" t="s">
        <v>52</v>
      </c>
      <c r="Q1347" t="s">
        <v>52</v>
      </c>
    </row>
    <row r="1348" spans="1:17" x14ac:dyDescent="0.3">
      <c r="A1348" t="s">
        <v>1110</v>
      </c>
      <c r="B1348" t="s">
        <v>52</v>
      </c>
      <c r="D1348" t="s">
        <v>52</v>
      </c>
      <c r="F1348" t="s">
        <v>2077</v>
      </c>
      <c r="H1348" t="s">
        <v>52</v>
      </c>
      <c r="J1348" t="s">
        <v>52</v>
      </c>
      <c r="L1348" t="s">
        <v>2077</v>
      </c>
      <c r="P1348" t="s">
        <v>2078</v>
      </c>
      <c r="Q1348" t="s">
        <v>52</v>
      </c>
    </row>
    <row r="1350" spans="1:17" x14ac:dyDescent="0.3">
      <c r="A1350" s="23" t="s">
        <v>2079</v>
      </c>
      <c r="B1350" s="24"/>
      <c r="C1350" s="24"/>
      <c r="D1350" s="24"/>
      <c r="E1350" s="24"/>
    </row>
    <row r="1351" spans="1:17" x14ac:dyDescent="0.3">
      <c r="B1351" t="s">
        <v>2080</v>
      </c>
      <c r="C1351" t="s">
        <v>2080</v>
      </c>
    </row>
    <row r="1352" spans="1:17" x14ac:dyDescent="0.3">
      <c r="B1352" t="s">
        <v>2058</v>
      </c>
      <c r="C1352" t="s">
        <v>2059</v>
      </c>
    </row>
    <row r="1353" spans="1:17" x14ac:dyDescent="0.3">
      <c r="A1353" t="s">
        <v>39</v>
      </c>
      <c r="B1353" t="s">
        <v>2062</v>
      </c>
      <c r="C1353" t="s">
        <v>2062</v>
      </c>
    </row>
    <row r="1354" spans="1:17" x14ac:dyDescent="0.3">
      <c r="A1354" t="s">
        <v>176</v>
      </c>
      <c r="C1354" t="s">
        <v>52</v>
      </c>
    </row>
    <row r="1355" spans="1:17" x14ac:dyDescent="0.3">
      <c r="A1355" t="s">
        <v>291</v>
      </c>
      <c r="C1355" t="s">
        <v>52</v>
      </c>
    </row>
    <row r="1356" spans="1:17" x14ac:dyDescent="0.3">
      <c r="A1356" t="s">
        <v>394</v>
      </c>
      <c r="C1356" t="s">
        <v>52</v>
      </c>
    </row>
    <row r="1357" spans="1:17" x14ac:dyDescent="0.3">
      <c r="A1357" t="s">
        <v>480</v>
      </c>
      <c r="C1357" t="s">
        <v>52</v>
      </c>
    </row>
    <row r="1358" spans="1:17" x14ac:dyDescent="0.3">
      <c r="A1358" t="s">
        <v>572</v>
      </c>
      <c r="C1358" t="s">
        <v>52</v>
      </c>
    </row>
    <row r="1359" spans="1:17" x14ac:dyDescent="0.3">
      <c r="A1359" t="s">
        <v>666</v>
      </c>
      <c r="B1359" t="s">
        <v>52</v>
      </c>
    </row>
    <row r="1360" spans="1:17" x14ac:dyDescent="0.3">
      <c r="A1360" t="s">
        <v>747</v>
      </c>
      <c r="B1360" t="s">
        <v>52</v>
      </c>
    </row>
    <row r="1361" spans="1:5" x14ac:dyDescent="0.3">
      <c r="A1361" t="s">
        <v>835</v>
      </c>
      <c r="B1361" t="s">
        <v>52</v>
      </c>
    </row>
    <row r="1362" spans="1:5" x14ac:dyDescent="0.3">
      <c r="A1362" t="s">
        <v>902</v>
      </c>
      <c r="B1362" t="s">
        <v>52</v>
      </c>
    </row>
    <row r="1363" spans="1:5" x14ac:dyDescent="0.3">
      <c r="A1363" t="s">
        <v>972</v>
      </c>
      <c r="B1363" t="s">
        <v>52</v>
      </c>
    </row>
    <row r="1364" spans="1:5" x14ac:dyDescent="0.3">
      <c r="A1364" t="s">
        <v>1046</v>
      </c>
      <c r="B1364" t="s">
        <v>52</v>
      </c>
    </row>
    <row r="1365" spans="1:5" x14ac:dyDescent="0.3">
      <c r="A1365" t="s">
        <v>1110</v>
      </c>
      <c r="B1365" t="s">
        <v>52</v>
      </c>
    </row>
    <row r="1367" spans="1:5" x14ac:dyDescent="0.3">
      <c r="A1367" s="23" t="s">
        <v>2081</v>
      </c>
      <c r="B1367" s="24"/>
      <c r="C1367" s="24"/>
      <c r="D1367" s="24"/>
      <c r="E1367" s="24"/>
    </row>
    <row r="1368" spans="1:5" x14ac:dyDescent="0.3">
      <c r="B1368" t="s">
        <v>2082</v>
      </c>
    </row>
    <row r="1369" spans="1:5" x14ac:dyDescent="0.3">
      <c r="B1369" t="s">
        <v>2083</v>
      </c>
    </row>
    <row r="1370" spans="1:5" x14ac:dyDescent="0.3">
      <c r="A1370" t="s">
        <v>39</v>
      </c>
      <c r="B1370" t="s">
        <v>2084</v>
      </c>
    </row>
    <row r="1371" spans="1:5" x14ac:dyDescent="0.3">
      <c r="A1371" t="s">
        <v>176</v>
      </c>
      <c r="B1371" t="s">
        <v>1234</v>
      </c>
    </row>
    <row r="1372" spans="1:5" x14ac:dyDescent="0.3">
      <c r="A1372" t="s">
        <v>291</v>
      </c>
      <c r="B1372" t="s">
        <v>1234</v>
      </c>
    </row>
    <row r="1373" spans="1:5" x14ac:dyDescent="0.3">
      <c r="A1373" t="s">
        <v>394</v>
      </c>
      <c r="B1373" t="s">
        <v>1234</v>
      </c>
    </row>
    <row r="1374" spans="1:5" x14ac:dyDescent="0.3">
      <c r="A1374" t="s">
        <v>480</v>
      </c>
      <c r="B1374" t="s">
        <v>1234</v>
      </c>
    </row>
    <row r="1375" spans="1:5" x14ac:dyDescent="0.3">
      <c r="A1375" t="s">
        <v>572</v>
      </c>
      <c r="B1375" t="s">
        <v>1234</v>
      </c>
    </row>
    <row r="1376" spans="1:5" x14ac:dyDescent="0.3">
      <c r="A1376" t="s">
        <v>666</v>
      </c>
      <c r="B1376" t="s">
        <v>1234</v>
      </c>
    </row>
    <row r="1377" spans="1:30" x14ac:dyDescent="0.3">
      <c r="A1377" t="s">
        <v>747</v>
      </c>
      <c r="B1377" t="s">
        <v>1234</v>
      </c>
    </row>
    <row r="1378" spans="1:30" x14ac:dyDescent="0.3">
      <c r="A1378" t="s">
        <v>835</v>
      </c>
      <c r="B1378" t="s">
        <v>1234</v>
      </c>
    </row>
    <row r="1379" spans="1:30" x14ac:dyDescent="0.3">
      <c r="A1379" t="s">
        <v>902</v>
      </c>
      <c r="B1379" t="s">
        <v>1234</v>
      </c>
    </row>
    <row r="1380" spans="1:30" x14ac:dyDescent="0.3">
      <c r="A1380" t="s">
        <v>972</v>
      </c>
      <c r="B1380" t="s">
        <v>1234</v>
      </c>
    </row>
    <row r="1381" spans="1:30" x14ac:dyDescent="0.3">
      <c r="A1381" t="s">
        <v>1046</v>
      </c>
      <c r="B1381" t="s">
        <v>1234</v>
      </c>
    </row>
    <row r="1382" spans="1:30" x14ac:dyDescent="0.3">
      <c r="A1382" t="s">
        <v>1110</v>
      </c>
      <c r="B1382" t="s">
        <v>1234</v>
      </c>
    </row>
    <row r="1384" spans="1:30" x14ac:dyDescent="0.3">
      <c r="A1384" s="23" t="s">
        <v>2085</v>
      </c>
      <c r="B1384" s="24"/>
      <c r="C1384" s="24"/>
      <c r="D1384" s="24"/>
      <c r="E1384" s="24"/>
    </row>
    <row r="1385" spans="1:30" x14ac:dyDescent="0.3">
      <c r="B1385" t="s">
        <v>2086</v>
      </c>
      <c r="C1385" t="s">
        <v>2086</v>
      </c>
      <c r="D1385" t="s">
        <v>2086</v>
      </c>
      <c r="E1385" t="s">
        <v>2087</v>
      </c>
      <c r="F1385" t="s">
        <v>2087</v>
      </c>
      <c r="G1385" t="s">
        <v>2087</v>
      </c>
      <c r="H1385" t="s">
        <v>2088</v>
      </c>
      <c r="I1385" t="s">
        <v>2088</v>
      </c>
      <c r="J1385" t="s">
        <v>2088</v>
      </c>
      <c r="K1385" t="s">
        <v>2089</v>
      </c>
      <c r="L1385" t="s">
        <v>2089</v>
      </c>
      <c r="O1385" t="s">
        <v>2089</v>
      </c>
      <c r="P1385" t="s">
        <v>2090</v>
      </c>
      <c r="Q1385" t="s">
        <v>2090</v>
      </c>
      <c r="R1385" t="s">
        <v>2090</v>
      </c>
      <c r="S1385" t="s">
        <v>2091</v>
      </c>
      <c r="T1385" t="s">
        <v>2091</v>
      </c>
      <c r="U1385" t="s">
        <v>2091</v>
      </c>
      <c r="V1385" t="s">
        <v>2092</v>
      </c>
      <c r="W1385" t="s">
        <v>2092</v>
      </c>
      <c r="X1385" t="s">
        <v>2092</v>
      </c>
      <c r="Y1385" t="s">
        <v>2093</v>
      </c>
      <c r="Z1385" t="s">
        <v>2093</v>
      </c>
      <c r="AA1385" t="s">
        <v>2093</v>
      </c>
      <c r="AB1385" t="s">
        <v>2094</v>
      </c>
      <c r="AC1385" t="s">
        <v>2094</v>
      </c>
      <c r="AD1385" t="s">
        <v>2094</v>
      </c>
    </row>
    <row r="1386" spans="1:30" x14ac:dyDescent="0.3">
      <c r="B1386" t="s">
        <v>2095</v>
      </c>
      <c r="C1386" t="s">
        <v>2096</v>
      </c>
      <c r="D1386" t="s">
        <v>2097</v>
      </c>
      <c r="E1386" t="s">
        <v>2098</v>
      </c>
      <c r="F1386" t="s">
        <v>2099</v>
      </c>
      <c r="G1386" t="s">
        <v>2100</v>
      </c>
      <c r="H1386" t="s">
        <v>2101</v>
      </c>
      <c r="I1386" t="s">
        <v>2102</v>
      </c>
      <c r="J1386" t="s">
        <v>2103</v>
      </c>
      <c r="K1386" t="s">
        <v>2104</v>
      </c>
      <c r="L1386" t="s">
        <v>2105</v>
      </c>
      <c r="O1386" t="s">
        <v>2106</v>
      </c>
      <c r="P1386" t="s">
        <v>2107</v>
      </c>
      <c r="Q1386" t="s">
        <v>2108</v>
      </c>
      <c r="R1386" t="s">
        <v>2109</v>
      </c>
      <c r="S1386" t="s">
        <v>2097</v>
      </c>
      <c r="T1386" t="s">
        <v>2110</v>
      </c>
      <c r="U1386" t="s">
        <v>2111</v>
      </c>
      <c r="V1386" t="s">
        <v>2112</v>
      </c>
      <c r="W1386" t="s">
        <v>2113</v>
      </c>
      <c r="X1386" t="s">
        <v>2113</v>
      </c>
      <c r="Y1386" t="s">
        <v>2114</v>
      </c>
      <c r="Z1386" t="s">
        <v>2115</v>
      </c>
      <c r="AA1386" t="s">
        <v>2115</v>
      </c>
      <c r="AB1386" t="s">
        <v>2116</v>
      </c>
      <c r="AC1386" t="s">
        <v>2117</v>
      </c>
      <c r="AD1386" t="s">
        <v>2118</v>
      </c>
    </row>
    <row r="1387" spans="1:30" x14ac:dyDescent="0.3">
      <c r="A1387" t="s">
        <v>39</v>
      </c>
      <c r="B1387" t="s">
        <v>2084</v>
      </c>
      <c r="C1387" t="s">
        <v>2119</v>
      </c>
      <c r="D1387" t="s">
        <v>47</v>
      </c>
      <c r="E1387" t="s">
        <v>2084</v>
      </c>
      <c r="F1387" t="s">
        <v>2119</v>
      </c>
      <c r="G1387" t="s">
        <v>47</v>
      </c>
      <c r="H1387" t="s">
        <v>2084</v>
      </c>
      <c r="I1387" t="s">
        <v>2119</v>
      </c>
      <c r="J1387" t="s">
        <v>47</v>
      </c>
      <c r="K1387" t="s">
        <v>2084</v>
      </c>
      <c r="L1387" t="s">
        <v>2119</v>
      </c>
      <c r="O1387" t="s">
        <v>47</v>
      </c>
      <c r="P1387" t="s">
        <v>2084</v>
      </c>
      <c r="Q1387" t="s">
        <v>2119</v>
      </c>
      <c r="R1387" t="s">
        <v>47</v>
      </c>
      <c r="S1387" t="s">
        <v>47</v>
      </c>
      <c r="T1387" t="s">
        <v>2084</v>
      </c>
      <c r="U1387" t="s">
        <v>2119</v>
      </c>
      <c r="V1387" t="s">
        <v>2084</v>
      </c>
      <c r="W1387" t="s">
        <v>47</v>
      </c>
      <c r="X1387" t="s">
        <v>2119</v>
      </c>
      <c r="Y1387" t="s">
        <v>2084</v>
      </c>
      <c r="Z1387" t="s">
        <v>47</v>
      </c>
      <c r="AA1387" t="s">
        <v>2119</v>
      </c>
      <c r="AB1387" t="s">
        <v>2084</v>
      </c>
      <c r="AC1387" t="s">
        <v>2119</v>
      </c>
      <c r="AD1387" t="s">
        <v>47</v>
      </c>
    </row>
    <row r="1388" spans="1:30" x14ac:dyDescent="0.3">
      <c r="A1388" t="s">
        <v>176</v>
      </c>
      <c r="B1388" t="s">
        <v>1234</v>
      </c>
      <c r="C1388" t="s">
        <v>1234</v>
      </c>
      <c r="D1388" t="s">
        <v>1234</v>
      </c>
      <c r="E1388" t="s">
        <v>1234</v>
      </c>
      <c r="F1388" t="s">
        <v>1234</v>
      </c>
      <c r="G1388" t="s">
        <v>1234</v>
      </c>
      <c r="H1388" t="s">
        <v>1234</v>
      </c>
      <c r="I1388" t="s">
        <v>1234</v>
      </c>
      <c r="J1388" t="s">
        <v>1234</v>
      </c>
      <c r="K1388" t="s">
        <v>1234</v>
      </c>
      <c r="L1388" t="s">
        <v>1234</v>
      </c>
      <c r="O1388" t="s">
        <v>1234</v>
      </c>
      <c r="P1388" t="s">
        <v>1234</v>
      </c>
      <c r="Q1388" t="s">
        <v>1234</v>
      </c>
      <c r="R1388" t="s">
        <v>1234</v>
      </c>
      <c r="S1388" t="s">
        <v>1234</v>
      </c>
      <c r="T1388" t="s">
        <v>1234</v>
      </c>
      <c r="U1388" t="s">
        <v>1234</v>
      </c>
      <c r="V1388" t="s">
        <v>1234</v>
      </c>
      <c r="W1388" t="s">
        <v>1234</v>
      </c>
      <c r="X1388" t="s">
        <v>1234</v>
      </c>
      <c r="Y1388" t="s">
        <v>1234</v>
      </c>
      <c r="Z1388" t="s">
        <v>1234</v>
      </c>
      <c r="AA1388" t="s">
        <v>1234</v>
      </c>
      <c r="AB1388" t="s">
        <v>1234</v>
      </c>
      <c r="AC1388" t="s">
        <v>1234</v>
      </c>
      <c r="AD1388" t="s">
        <v>1234</v>
      </c>
    </row>
    <row r="1389" spans="1:30" x14ac:dyDescent="0.3">
      <c r="A1389" t="s">
        <v>291</v>
      </c>
      <c r="B1389" t="s">
        <v>1234</v>
      </c>
      <c r="C1389" t="s">
        <v>1234</v>
      </c>
      <c r="D1389" t="s">
        <v>1234</v>
      </c>
      <c r="E1389" t="s">
        <v>1234</v>
      </c>
      <c r="F1389" t="s">
        <v>1234</v>
      </c>
      <c r="G1389" t="s">
        <v>1234</v>
      </c>
      <c r="H1389" t="s">
        <v>1234</v>
      </c>
      <c r="I1389" t="s">
        <v>1234</v>
      </c>
      <c r="J1389" t="s">
        <v>1234</v>
      </c>
      <c r="K1389" t="s">
        <v>1234</v>
      </c>
      <c r="L1389" t="s">
        <v>1234</v>
      </c>
      <c r="O1389" t="s">
        <v>1234</v>
      </c>
      <c r="P1389" t="s">
        <v>1234</v>
      </c>
      <c r="Q1389" t="s">
        <v>1234</v>
      </c>
      <c r="R1389" t="s">
        <v>1234</v>
      </c>
      <c r="S1389" t="s">
        <v>1234</v>
      </c>
      <c r="T1389" t="s">
        <v>1234</v>
      </c>
      <c r="U1389" t="s">
        <v>1234</v>
      </c>
      <c r="V1389" t="s">
        <v>1234</v>
      </c>
      <c r="W1389" t="s">
        <v>1234</v>
      </c>
      <c r="X1389" t="s">
        <v>1234</v>
      </c>
      <c r="Y1389" t="s">
        <v>1234</v>
      </c>
      <c r="Z1389" t="s">
        <v>1234</v>
      </c>
      <c r="AA1389" t="s">
        <v>1234</v>
      </c>
      <c r="AB1389" t="s">
        <v>1234</v>
      </c>
      <c r="AC1389" t="s">
        <v>1234</v>
      </c>
      <c r="AD1389" t="s">
        <v>1234</v>
      </c>
    </row>
    <row r="1390" spans="1:30" x14ac:dyDescent="0.3">
      <c r="A1390" t="s">
        <v>394</v>
      </c>
      <c r="B1390" t="s">
        <v>1234</v>
      </c>
      <c r="C1390" t="s">
        <v>1234</v>
      </c>
      <c r="D1390" t="s">
        <v>1234</v>
      </c>
      <c r="E1390" t="s">
        <v>1234</v>
      </c>
      <c r="F1390" t="s">
        <v>1234</v>
      </c>
      <c r="G1390" t="s">
        <v>1234</v>
      </c>
      <c r="H1390" t="s">
        <v>1234</v>
      </c>
      <c r="I1390" t="s">
        <v>1234</v>
      </c>
      <c r="J1390" t="s">
        <v>1234</v>
      </c>
      <c r="K1390" t="s">
        <v>1234</v>
      </c>
      <c r="L1390" t="s">
        <v>1234</v>
      </c>
      <c r="O1390" t="s">
        <v>1234</v>
      </c>
      <c r="P1390" t="s">
        <v>1234</v>
      </c>
      <c r="Q1390" t="s">
        <v>1234</v>
      </c>
      <c r="R1390" t="s">
        <v>1234</v>
      </c>
      <c r="S1390" t="s">
        <v>1234</v>
      </c>
      <c r="T1390" t="s">
        <v>1234</v>
      </c>
      <c r="U1390" t="s">
        <v>1234</v>
      </c>
      <c r="V1390" t="s">
        <v>1234</v>
      </c>
      <c r="W1390" t="s">
        <v>1234</v>
      </c>
      <c r="X1390" t="s">
        <v>1234</v>
      </c>
      <c r="Y1390" t="s">
        <v>1234</v>
      </c>
      <c r="Z1390" t="s">
        <v>1234</v>
      </c>
      <c r="AA1390" t="s">
        <v>1234</v>
      </c>
      <c r="AB1390" t="s">
        <v>1234</v>
      </c>
      <c r="AC1390" t="s">
        <v>1234</v>
      </c>
      <c r="AD1390" t="s">
        <v>1234</v>
      </c>
    </row>
    <row r="1391" spans="1:30" x14ac:dyDescent="0.3">
      <c r="A1391" t="s">
        <v>480</v>
      </c>
      <c r="B1391" t="s">
        <v>1234</v>
      </c>
      <c r="C1391" t="s">
        <v>1234</v>
      </c>
      <c r="D1391" t="s">
        <v>1234</v>
      </c>
      <c r="E1391" t="s">
        <v>1234</v>
      </c>
      <c r="F1391" t="s">
        <v>1234</v>
      </c>
      <c r="G1391" t="s">
        <v>1234</v>
      </c>
      <c r="H1391" t="s">
        <v>1234</v>
      </c>
      <c r="I1391" t="s">
        <v>1234</v>
      </c>
      <c r="J1391" t="s">
        <v>1234</v>
      </c>
      <c r="K1391" t="s">
        <v>1234</v>
      </c>
      <c r="L1391" t="s">
        <v>1234</v>
      </c>
      <c r="O1391" t="s">
        <v>1234</v>
      </c>
      <c r="P1391" t="s">
        <v>1234</v>
      </c>
      <c r="Q1391" t="s">
        <v>1234</v>
      </c>
      <c r="R1391" t="s">
        <v>1234</v>
      </c>
      <c r="S1391" t="s">
        <v>1234</v>
      </c>
      <c r="T1391" t="s">
        <v>1234</v>
      </c>
      <c r="U1391" t="s">
        <v>1234</v>
      </c>
      <c r="V1391" t="s">
        <v>1234</v>
      </c>
      <c r="W1391" t="s">
        <v>1234</v>
      </c>
      <c r="X1391" t="s">
        <v>1234</v>
      </c>
      <c r="Y1391" t="s">
        <v>1234</v>
      </c>
      <c r="Z1391" t="s">
        <v>1234</v>
      </c>
      <c r="AA1391" t="s">
        <v>1234</v>
      </c>
      <c r="AB1391" t="s">
        <v>1234</v>
      </c>
      <c r="AC1391" t="s">
        <v>1234</v>
      </c>
      <c r="AD1391" t="s">
        <v>1234</v>
      </c>
    </row>
    <row r="1392" spans="1:30" x14ac:dyDescent="0.3">
      <c r="A1392" t="s">
        <v>572</v>
      </c>
      <c r="B1392" t="s">
        <v>1234</v>
      </c>
      <c r="C1392" t="s">
        <v>1234</v>
      </c>
      <c r="D1392" t="s">
        <v>1234</v>
      </c>
      <c r="E1392" t="s">
        <v>1234</v>
      </c>
      <c r="F1392" t="s">
        <v>1234</v>
      </c>
      <c r="G1392" t="s">
        <v>1234</v>
      </c>
      <c r="H1392" t="s">
        <v>1234</v>
      </c>
      <c r="I1392" t="s">
        <v>1234</v>
      </c>
      <c r="J1392" t="s">
        <v>1234</v>
      </c>
      <c r="K1392" t="s">
        <v>1234</v>
      </c>
      <c r="L1392" t="s">
        <v>1234</v>
      </c>
      <c r="O1392" t="s">
        <v>1234</v>
      </c>
      <c r="P1392" t="s">
        <v>1234</v>
      </c>
      <c r="Q1392" t="s">
        <v>1234</v>
      </c>
      <c r="R1392" t="s">
        <v>1234</v>
      </c>
      <c r="S1392" t="s">
        <v>1234</v>
      </c>
      <c r="T1392" t="s">
        <v>1234</v>
      </c>
      <c r="U1392" t="s">
        <v>1234</v>
      </c>
      <c r="V1392" t="s">
        <v>1234</v>
      </c>
      <c r="W1392" t="s">
        <v>1234</v>
      </c>
      <c r="X1392" t="s">
        <v>1234</v>
      </c>
      <c r="Y1392" t="s">
        <v>1234</v>
      </c>
      <c r="Z1392" t="s">
        <v>1234</v>
      </c>
      <c r="AA1392" t="s">
        <v>1234</v>
      </c>
      <c r="AB1392" t="s">
        <v>1234</v>
      </c>
      <c r="AC1392" t="s">
        <v>1234</v>
      </c>
      <c r="AD1392" t="s">
        <v>1234</v>
      </c>
    </row>
    <row r="1393" spans="1:30" x14ac:dyDescent="0.3">
      <c r="A1393" t="s">
        <v>666</v>
      </c>
      <c r="B1393" t="s">
        <v>1234</v>
      </c>
      <c r="C1393" t="s">
        <v>1234</v>
      </c>
      <c r="D1393" t="s">
        <v>1234</v>
      </c>
      <c r="E1393" t="s">
        <v>1234</v>
      </c>
      <c r="F1393" t="s">
        <v>1234</v>
      </c>
      <c r="G1393" t="s">
        <v>1234</v>
      </c>
      <c r="H1393" t="s">
        <v>1234</v>
      </c>
      <c r="I1393" t="s">
        <v>1234</v>
      </c>
      <c r="J1393" t="s">
        <v>1234</v>
      </c>
      <c r="K1393" t="s">
        <v>1234</v>
      </c>
      <c r="L1393" t="s">
        <v>1234</v>
      </c>
      <c r="O1393" t="s">
        <v>1234</v>
      </c>
      <c r="P1393" t="s">
        <v>1234</v>
      </c>
      <c r="Q1393" t="s">
        <v>1234</v>
      </c>
      <c r="R1393" t="s">
        <v>1234</v>
      </c>
      <c r="S1393" t="s">
        <v>1234</v>
      </c>
      <c r="T1393" t="s">
        <v>1234</v>
      </c>
      <c r="U1393" t="s">
        <v>1234</v>
      </c>
      <c r="V1393" t="s">
        <v>1234</v>
      </c>
      <c r="W1393" t="s">
        <v>1234</v>
      </c>
      <c r="X1393" t="s">
        <v>1234</v>
      </c>
      <c r="Y1393" t="s">
        <v>1234</v>
      </c>
      <c r="Z1393" t="s">
        <v>1234</v>
      </c>
      <c r="AA1393" t="s">
        <v>1234</v>
      </c>
      <c r="AB1393" t="s">
        <v>1234</v>
      </c>
      <c r="AC1393" t="s">
        <v>1234</v>
      </c>
      <c r="AD1393" t="s">
        <v>1234</v>
      </c>
    </row>
    <row r="1394" spans="1:30" x14ac:dyDescent="0.3">
      <c r="A1394" t="s">
        <v>747</v>
      </c>
      <c r="B1394" t="s">
        <v>1234</v>
      </c>
      <c r="C1394" t="s">
        <v>1234</v>
      </c>
      <c r="D1394" t="s">
        <v>1234</v>
      </c>
      <c r="E1394" t="s">
        <v>1234</v>
      </c>
      <c r="F1394" t="s">
        <v>1234</v>
      </c>
      <c r="G1394" t="s">
        <v>1234</v>
      </c>
      <c r="H1394" t="s">
        <v>1234</v>
      </c>
      <c r="I1394" t="s">
        <v>1234</v>
      </c>
      <c r="J1394" t="s">
        <v>1234</v>
      </c>
      <c r="K1394" t="s">
        <v>1234</v>
      </c>
      <c r="L1394" t="s">
        <v>1234</v>
      </c>
      <c r="O1394" t="s">
        <v>1234</v>
      </c>
      <c r="P1394" t="s">
        <v>1234</v>
      </c>
      <c r="Q1394" t="s">
        <v>1234</v>
      </c>
      <c r="R1394" t="s">
        <v>1234</v>
      </c>
      <c r="S1394" t="s">
        <v>1234</v>
      </c>
      <c r="T1394" t="s">
        <v>1234</v>
      </c>
      <c r="U1394" t="s">
        <v>1234</v>
      </c>
      <c r="V1394" t="s">
        <v>1234</v>
      </c>
      <c r="W1394" t="s">
        <v>1234</v>
      </c>
      <c r="X1394" t="s">
        <v>1234</v>
      </c>
      <c r="Y1394" t="s">
        <v>1234</v>
      </c>
      <c r="Z1394" t="s">
        <v>1234</v>
      </c>
      <c r="AA1394" t="s">
        <v>1234</v>
      </c>
      <c r="AB1394" t="s">
        <v>1234</v>
      </c>
      <c r="AC1394" t="s">
        <v>1234</v>
      </c>
      <c r="AD1394" t="s">
        <v>1234</v>
      </c>
    </row>
    <row r="1395" spans="1:30" x14ac:dyDescent="0.3">
      <c r="A1395" t="s">
        <v>835</v>
      </c>
      <c r="B1395" t="s">
        <v>1234</v>
      </c>
      <c r="C1395" t="s">
        <v>1234</v>
      </c>
      <c r="D1395" t="s">
        <v>1234</v>
      </c>
      <c r="E1395" t="s">
        <v>1234</v>
      </c>
      <c r="F1395" t="s">
        <v>1234</v>
      </c>
      <c r="G1395" t="s">
        <v>1234</v>
      </c>
      <c r="H1395" t="s">
        <v>1234</v>
      </c>
      <c r="I1395" t="s">
        <v>1234</v>
      </c>
      <c r="J1395" t="s">
        <v>1234</v>
      </c>
      <c r="K1395" t="s">
        <v>1234</v>
      </c>
      <c r="L1395" t="s">
        <v>1234</v>
      </c>
      <c r="O1395" t="s">
        <v>1234</v>
      </c>
      <c r="P1395" t="s">
        <v>1234</v>
      </c>
      <c r="Q1395" t="s">
        <v>1234</v>
      </c>
      <c r="R1395" t="s">
        <v>1234</v>
      </c>
      <c r="S1395" t="s">
        <v>1234</v>
      </c>
      <c r="T1395" t="s">
        <v>1234</v>
      </c>
      <c r="U1395" t="s">
        <v>1234</v>
      </c>
      <c r="V1395" t="s">
        <v>1234</v>
      </c>
      <c r="W1395" t="s">
        <v>1234</v>
      </c>
      <c r="X1395" t="s">
        <v>1234</v>
      </c>
      <c r="Y1395" t="s">
        <v>1234</v>
      </c>
      <c r="Z1395" t="s">
        <v>1234</v>
      </c>
      <c r="AA1395" t="s">
        <v>1234</v>
      </c>
      <c r="AB1395" t="s">
        <v>1234</v>
      </c>
      <c r="AC1395" t="s">
        <v>1234</v>
      </c>
      <c r="AD1395" t="s">
        <v>1234</v>
      </c>
    </row>
    <row r="1396" spans="1:30" x14ac:dyDescent="0.3">
      <c r="A1396" t="s">
        <v>902</v>
      </c>
      <c r="B1396" t="s">
        <v>1234</v>
      </c>
      <c r="C1396" t="s">
        <v>1234</v>
      </c>
      <c r="D1396" t="s">
        <v>1234</v>
      </c>
      <c r="E1396" t="s">
        <v>1234</v>
      </c>
      <c r="F1396" t="s">
        <v>1234</v>
      </c>
      <c r="G1396" t="s">
        <v>1234</v>
      </c>
      <c r="H1396" t="s">
        <v>1234</v>
      </c>
      <c r="I1396" t="s">
        <v>1234</v>
      </c>
      <c r="J1396" t="s">
        <v>1234</v>
      </c>
      <c r="K1396" t="s">
        <v>1234</v>
      </c>
      <c r="L1396" t="s">
        <v>1234</v>
      </c>
      <c r="O1396" t="s">
        <v>1234</v>
      </c>
      <c r="P1396" t="s">
        <v>1234</v>
      </c>
      <c r="Q1396" t="s">
        <v>1234</v>
      </c>
      <c r="R1396" t="s">
        <v>1234</v>
      </c>
      <c r="S1396" t="s">
        <v>1234</v>
      </c>
      <c r="T1396" t="s">
        <v>1234</v>
      </c>
      <c r="U1396" t="s">
        <v>1234</v>
      </c>
      <c r="V1396" t="s">
        <v>1234</v>
      </c>
      <c r="W1396" t="s">
        <v>1234</v>
      </c>
      <c r="X1396" t="s">
        <v>1234</v>
      </c>
      <c r="Y1396" t="s">
        <v>1234</v>
      </c>
      <c r="Z1396" t="s">
        <v>1234</v>
      </c>
      <c r="AA1396" t="s">
        <v>1234</v>
      </c>
      <c r="AB1396" t="s">
        <v>1234</v>
      </c>
      <c r="AC1396" t="s">
        <v>1234</v>
      </c>
      <c r="AD1396" t="s">
        <v>1234</v>
      </c>
    </row>
    <row r="1397" spans="1:30" x14ac:dyDescent="0.3">
      <c r="A1397" t="s">
        <v>972</v>
      </c>
      <c r="B1397" t="s">
        <v>1234</v>
      </c>
      <c r="C1397" t="s">
        <v>1234</v>
      </c>
      <c r="D1397" t="s">
        <v>1234</v>
      </c>
      <c r="E1397" t="s">
        <v>1234</v>
      </c>
      <c r="F1397" t="s">
        <v>1234</v>
      </c>
      <c r="G1397" t="s">
        <v>1234</v>
      </c>
      <c r="H1397" t="s">
        <v>1234</v>
      </c>
      <c r="I1397" t="s">
        <v>1234</v>
      </c>
      <c r="J1397" t="s">
        <v>1234</v>
      </c>
      <c r="K1397" t="s">
        <v>1234</v>
      </c>
      <c r="L1397" t="s">
        <v>1234</v>
      </c>
      <c r="O1397" t="s">
        <v>1234</v>
      </c>
      <c r="P1397" t="s">
        <v>1234</v>
      </c>
      <c r="Q1397" t="s">
        <v>1234</v>
      </c>
      <c r="R1397" t="s">
        <v>1234</v>
      </c>
      <c r="S1397" t="s">
        <v>1234</v>
      </c>
      <c r="T1397" t="s">
        <v>1234</v>
      </c>
      <c r="U1397" t="s">
        <v>1234</v>
      </c>
      <c r="V1397" t="s">
        <v>1234</v>
      </c>
      <c r="W1397" t="s">
        <v>1234</v>
      </c>
      <c r="X1397" t="s">
        <v>1234</v>
      </c>
      <c r="Y1397" t="s">
        <v>1234</v>
      </c>
      <c r="Z1397" t="s">
        <v>1234</v>
      </c>
      <c r="AA1397" t="s">
        <v>1234</v>
      </c>
      <c r="AB1397" t="s">
        <v>1234</v>
      </c>
      <c r="AC1397" t="s">
        <v>1234</v>
      </c>
      <c r="AD1397" t="s">
        <v>1234</v>
      </c>
    </row>
    <row r="1398" spans="1:30" x14ac:dyDescent="0.3">
      <c r="A1398" t="s">
        <v>1046</v>
      </c>
      <c r="B1398" t="s">
        <v>1234</v>
      </c>
      <c r="C1398" t="s">
        <v>1234</v>
      </c>
      <c r="D1398" t="s">
        <v>1234</v>
      </c>
      <c r="E1398" t="s">
        <v>1234</v>
      </c>
      <c r="F1398" t="s">
        <v>1234</v>
      </c>
      <c r="G1398" t="s">
        <v>1234</v>
      </c>
      <c r="H1398" t="s">
        <v>1234</v>
      </c>
      <c r="I1398" t="s">
        <v>1234</v>
      </c>
      <c r="J1398" t="s">
        <v>1234</v>
      </c>
      <c r="K1398" t="s">
        <v>1234</v>
      </c>
      <c r="L1398" t="s">
        <v>1234</v>
      </c>
      <c r="O1398" t="s">
        <v>1234</v>
      </c>
      <c r="P1398" t="s">
        <v>1234</v>
      </c>
      <c r="Q1398" t="s">
        <v>1234</v>
      </c>
      <c r="R1398" t="s">
        <v>1234</v>
      </c>
      <c r="S1398" t="s">
        <v>1234</v>
      </c>
      <c r="T1398" t="s">
        <v>1234</v>
      </c>
      <c r="U1398" t="s">
        <v>1234</v>
      </c>
      <c r="V1398" t="s">
        <v>1234</v>
      </c>
      <c r="W1398" t="s">
        <v>1234</v>
      </c>
      <c r="X1398" t="s">
        <v>1234</v>
      </c>
      <c r="Y1398" t="s">
        <v>1234</v>
      </c>
      <c r="Z1398" t="s">
        <v>1234</v>
      </c>
      <c r="AA1398" t="s">
        <v>1234</v>
      </c>
      <c r="AB1398" t="s">
        <v>1234</v>
      </c>
      <c r="AC1398" t="s">
        <v>1234</v>
      </c>
      <c r="AD1398" t="s">
        <v>1234</v>
      </c>
    </row>
    <row r="1399" spans="1:30" x14ac:dyDescent="0.3">
      <c r="A1399" t="s">
        <v>1110</v>
      </c>
      <c r="B1399" t="s">
        <v>1234</v>
      </c>
      <c r="C1399" t="s">
        <v>1234</v>
      </c>
      <c r="D1399" t="s">
        <v>1234</v>
      </c>
      <c r="E1399" t="s">
        <v>1234</v>
      </c>
      <c r="F1399" t="s">
        <v>1234</v>
      </c>
      <c r="G1399" t="s">
        <v>1234</v>
      </c>
      <c r="H1399" t="s">
        <v>1234</v>
      </c>
      <c r="I1399" t="s">
        <v>1234</v>
      </c>
      <c r="J1399" t="s">
        <v>1234</v>
      </c>
      <c r="K1399" t="s">
        <v>1234</v>
      </c>
      <c r="L1399" t="s">
        <v>1234</v>
      </c>
      <c r="O1399" t="s">
        <v>1234</v>
      </c>
      <c r="P1399" t="s">
        <v>1234</v>
      </c>
      <c r="Q1399" t="s">
        <v>1234</v>
      </c>
      <c r="R1399" t="s">
        <v>1234</v>
      </c>
      <c r="S1399" t="s">
        <v>1234</v>
      </c>
      <c r="T1399" t="s">
        <v>1234</v>
      </c>
      <c r="U1399" t="s">
        <v>1234</v>
      </c>
      <c r="V1399" t="s">
        <v>1234</v>
      </c>
      <c r="W1399" t="s">
        <v>1234</v>
      </c>
      <c r="X1399" t="s">
        <v>1234</v>
      </c>
      <c r="Y1399" t="s">
        <v>1234</v>
      </c>
      <c r="Z1399" t="s">
        <v>1234</v>
      </c>
      <c r="AA1399" t="s">
        <v>1234</v>
      </c>
      <c r="AB1399" t="s">
        <v>1234</v>
      </c>
      <c r="AC1399" t="s">
        <v>1234</v>
      </c>
      <c r="AD1399" t="s">
        <v>1234</v>
      </c>
    </row>
    <row r="1401" spans="1:30" x14ac:dyDescent="0.3">
      <c r="A1401" s="23" t="s">
        <v>2120</v>
      </c>
      <c r="B1401" s="24"/>
      <c r="C1401" s="24"/>
      <c r="D1401" s="24"/>
      <c r="E1401" s="24"/>
    </row>
    <row r="1402" spans="1:30" x14ac:dyDescent="0.3">
      <c r="B1402" t="s">
        <v>2121</v>
      </c>
    </row>
    <row r="1403" spans="1:30" x14ac:dyDescent="0.3">
      <c r="B1403" t="s">
        <v>2122</v>
      </c>
    </row>
    <row r="1404" spans="1:30" x14ac:dyDescent="0.3">
      <c r="A1404" t="s">
        <v>39</v>
      </c>
      <c r="B1404" t="s">
        <v>2048</v>
      </c>
    </row>
    <row r="1405" spans="1:30" x14ac:dyDescent="0.3">
      <c r="A1405" t="s">
        <v>176</v>
      </c>
      <c r="B1405" t="s">
        <v>1234</v>
      </c>
    </row>
    <row r="1406" spans="1:30" x14ac:dyDescent="0.3">
      <c r="A1406" t="s">
        <v>291</v>
      </c>
      <c r="B1406" t="s">
        <v>1234</v>
      </c>
    </row>
    <row r="1407" spans="1:30" x14ac:dyDescent="0.3">
      <c r="A1407" t="s">
        <v>394</v>
      </c>
      <c r="B1407" t="s">
        <v>1234</v>
      </c>
    </row>
    <row r="1408" spans="1:30" x14ac:dyDescent="0.3">
      <c r="A1408" t="s">
        <v>480</v>
      </c>
      <c r="B1408" t="s">
        <v>1234</v>
      </c>
    </row>
    <row r="1409" spans="1:5" x14ac:dyDescent="0.3">
      <c r="A1409" t="s">
        <v>572</v>
      </c>
      <c r="B1409" t="s">
        <v>1234</v>
      </c>
    </row>
    <row r="1410" spans="1:5" x14ac:dyDescent="0.3">
      <c r="A1410" t="s">
        <v>666</v>
      </c>
      <c r="B1410" t="s">
        <v>1234</v>
      </c>
    </row>
    <row r="1411" spans="1:5" x14ac:dyDescent="0.3">
      <c r="A1411" t="s">
        <v>747</v>
      </c>
      <c r="B1411" t="s">
        <v>1234</v>
      </c>
    </row>
    <row r="1412" spans="1:5" x14ac:dyDescent="0.3">
      <c r="A1412" t="s">
        <v>835</v>
      </c>
      <c r="B1412" t="s">
        <v>1234</v>
      </c>
    </row>
    <row r="1413" spans="1:5" x14ac:dyDescent="0.3">
      <c r="A1413" t="s">
        <v>902</v>
      </c>
      <c r="B1413" t="s">
        <v>1234</v>
      </c>
    </row>
    <row r="1414" spans="1:5" x14ac:dyDescent="0.3">
      <c r="A1414" t="s">
        <v>972</v>
      </c>
      <c r="B1414" t="s">
        <v>1234</v>
      </c>
    </row>
    <row r="1415" spans="1:5" x14ac:dyDescent="0.3">
      <c r="A1415" t="s">
        <v>1046</v>
      </c>
      <c r="B1415" t="s">
        <v>1234</v>
      </c>
    </row>
    <row r="1416" spans="1:5" x14ac:dyDescent="0.3">
      <c r="A1416" t="s">
        <v>1110</v>
      </c>
      <c r="B1416" t="s">
        <v>1234</v>
      </c>
    </row>
    <row r="1418" spans="1:5" x14ac:dyDescent="0.3">
      <c r="A1418" s="23" t="s">
        <v>2123</v>
      </c>
      <c r="B1418" s="24"/>
      <c r="C1418" s="24"/>
      <c r="D1418" s="24"/>
      <c r="E1418" s="24"/>
    </row>
    <row r="1419" spans="1:5" x14ac:dyDescent="0.3">
      <c r="B1419" t="s">
        <v>2124</v>
      </c>
      <c r="C1419" t="s">
        <v>2125</v>
      </c>
    </row>
    <row r="1420" spans="1:5" x14ac:dyDescent="0.3">
      <c r="B1420" t="s">
        <v>2126</v>
      </c>
      <c r="C1420" t="s">
        <v>2126</v>
      </c>
    </row>
    <row r="1421" spans="1:5" x14ac:dyDescent="0.3">
      <c r="A1421" t="s">
        <v>39</v>
      </c>
      <c r="B1421" t="s">
        <v>2048</v>
      </c>
      <c r="C1421" t="s">
        <v>2048</v>
      </c>
    </row>
    <row r="1422" spans="1:5" x14ac:dyDescent="0.3">
      <c r="A1422" t="s">
        <v>176</v>
      </c>
      <c r="B1422" t="s">
        <v>1234</v>
      </c>
      <c r="C1422" t="s">
        <v>1234</v>
      </c>
    </row>
    <row r="1423" spans="1:5" x14ac:dyDescent="0.3">
      <c r="A1423" t="s">
        <v>291</v>
      </c>
      <c r="B1423" t="s">
        <v>1234</v>
      </c>
      <c r="C1423" t="s">
        <v>1234</v>
      </c>
    </row>
    <row r="1424" spans="1:5" x14ac:dyDescent="0.3">
      <c r="A1424" t="s">
        <v>394</v>
      </c>
      <c r="B1424" t="s">
        <v>1234</v>
      </c>
      <c r="C1424" t="s">
        <v>1234</v>
      </c>
    </row>
    <row r="1425" spans="1:5" x14ac:dyDescent="0.3">
      <c r="A1425" t="s">
        <v>480</v>
      </c>
      <c r="B1425" t="s">
        <v>1234</v>
      </c>
      <c r="C1425" t="s">
        <v>1234</v>
      </c>
    </row>
    <row r="1426" spans="1:5" x14ac:dyDescent="0.3">
      <c r="A1426" t="s">
        <v>572</v>
      </c>
      <c r="B1426" t="s">
        <v>1234</v>
      </c>
      <c r="C1426" t="s">
        <v>1234</v>
      </c>
    </row>
    <row r="1427" spans="1:5" x14ac:dyDescent="0.3">
      <c r="A1427" t="s">
        <v>666</v>
      </c>
      <c r="B1427" t="s">
        <v>1234</v>
      </c>
      <c r="C1427" t="s">
        <v>1234</v>
      </c>
    </row>
    <row r="1428" spans="1:5" x14ac:dyDescent="0.3">
      <c r="A1428" t="s">
        <v>747</v>
      </c>
      <c r="B1428" t="s">
        <v>1234</v>
      </c>
      <c r="C1428" t="s">
        <v>1234</v>
      </c>
    </row>
    <row r="1429" spans="1:5" x14ac:dyDescent="0.3">
      <c r="A1429" t="s">
        <v>835</v>
      </c>
      <c r="B1429" t="s">
        <v>1234</v>
      </c>
      <c r="C1429" t="s">
        <v>1234</v>
      </c>
    </row>
    <row r="1430" spans="1:5" x14ac:dyDescent="0.3">
      <c r="A1430" t="s">
        <v>902</v>
      </c>
      <c r="B1430" t="s">
        <v>1234</v>
      </c>
      <c r="C1430" t="s">
        <v>1234</v>
      </c>
    </row>
    <row r="1431" spans="1:5" x14ac:dyDescent="0.3">
      <c r="A1431" t="s">
        <v>972</v>
      </c>
      <c r="B1431" t="s">
        <v>1234</v>
      </c>
      <c r="C1431" t="s">
        <v>1234</v>
      </c>
    </row>
    <row r="1432" spans="1:5" x14ac:dyDescent="0.3">
      <c r="A1432" t="s">
        <v>1046</v>
      </c>
      <c r="B1432" t="s">
        <v>1234</v>
      </c>
      <c r="C1432" t="s">
        <v>1234</v>
      </c>
    </row>
    <row r="1433" spans="1:5" x14ac:dyDescent="0.3">
      <c r="A1433" t="s">
        <v>1110</v>
      </c>
      <c r="B1433" t="s">
        <v>1234</v>
      </c>
      <c r="C1433" t="s">
        <v>1234</v>
      </c>
    </row>
    <row r="1435" spans="1:5" x14ac:dyDescent="0.3">
      <c r="A1435" s="23" t="s">
        <v>2127</v>
      </c>
      <c r="B1435" s="24"/>
      <c r="C1435" s="24"/>
      <c r="D1435" s="24"/>
      <c r="E1435" s="24"/>
    </row>
    <row r="1436" spans="1:5" x14ac:dyDescent="0.3">
      <c r="B1436" t="s">
        <v>2128</v>
      </c>
    </row>
    <row r="1437" spans="1:5" x14ac:dyDescent="0.3">
      <c r="B1437" t="s">
        <v>2129</v>
      </c>
    </row>
    <row r="1438" spans="1:5" x14ac:dyDescent="0.3">
      <c r="A1438" t="s">
        <v>39</v>
      </c>
      <c r="B1438" t="s">
        <v>2084</v>
      </c>
    </row>
    <row r="1439" spans="1:5" x14ac:dyDescent="0.3">
      <c r="A1439" t="s">
        <v>176</v>
      </c>
      <c r="B1439" t="s">
        <v>1234</v>
      </c>
    </row>
    <row r="1440" spans="1:5" x14ac:dyDescent="0.3">
      <c r="A1440" t="s">
        <v>291</v>
      </c>
      <c r="B1440" t="s">
        <v>1234</v>
      </c>
    </row>
    <row r="1441" spans="1:11" x14ac:dyDescent="0.3">
      <c r="A1441" t="s">
        <v>394</v>
      </c>
      <c r="B1441" t="s">
        <v>1234</v>
      </c>
    </row>
    <row r="1442" spans="1:11" x14ac:dyDescent="0.3">
      <c r="A1442" t="s">
        <v>480</v>
      </c>
      <c r="B1442" t="s">
        <v>1234</v>
      </c>
    </row>
    <row r="1443" spans="1:11" x14ac:dyDescent="0.3">
      <c r="A1443" t="s">
        <v>572</v>
      </c>
      <c r="B1443" t="s">
        <v>1234</v>
      </c>
    </row>
    <row r="1444" spans="1:11" x14ac:dyDescent="0.3">
      <c r="A1444" t="s">
        <v>666</v>
      </c>
      <c r="B1444" t="s">
        <v>1234</v>
      </c>
    </row>
    <row r="1445" spans="1:11" x14ac:dyDescent="0.3">
      <c r="A1445" t="s">
        <v>747</v>
      </c>
      <c r="B1445" t="s">
        <v>1234</v>
      </c>
    </row>
    <row r="1446" spans="1:11" x14ac:dyDescent="0.3">
      <c r="A1446" t="s">
        <v>835</v>
      </c>
      <c r="B1446" t="s">
        <v>1234</v>
      </c>
    </row>
    <row r="1447" spans="1:11" x14ac:dyDescent="0.3">
      <c r="A1447" t="s">
        <v>902</v>
      </c>
      <c r="B1447" t="s">
        <v>1234</v>
      </c>
    </row>
    <row r="1448" spans="1:11" x14ac:dyDescent="0.3">
      <c r="A1448" t="s">
        <v>972</v>
      </c>
      <c r="B1448" t="s">
        <v>1234</v>
      </c>
    </row>
    <row r="1449" spans="1:11" x14ac:dyDescent="0.3">
      <c r="A1449" t="s">
        <v>1046</v>
      </c>
      <c r="B1449" t="s">
        <v>1234</v>
      </c>
    </row>
    <row r="1450" spans="1:11" x14ac:dyDescent="0.3">
      <c r="A1450" t="s">
        <v>1110</v>
      </c>
      <c r="B1450" t="s">
        <v>1234</v>
      </c>
    </row>
    <row r="1452" spans="1:11" x14ac:dyDescent="0.3">
      <c r="A1452" s="23" t="s">
        <v>2130</v>
      </c>
      <c r="B1452" s="24"/>
      <c r="C1452" s="24"/>
      <c r="D1452" s="24"/>
      <c r="E1452" s="24"/>
    </row>
    <row r="1453" spans="1:11" x14ac:dyDescent="0.3">
      <c r="B1453" t="s">
        <v>2086</v>
      </c>
      <c r="C1453" t="s">
        <v>2086</v>
      </c>
      <c r="D1453" t="s">
        <v>2131</v>
      </c>
      <c r="E1453" t="s">
        <v>2131</v>
      </c>
      <c r="F1453" t="s">
        <v>2124</v>
      </c>
      <c r="G1453" t="s">
        <v>2092</v>
      </c>
      <c r="H1453" t="s">
        <v>2092</v>
      </c>
      <c r="I1453" t="s">
        <v>2132</v>
      </c>
      <c r="J1453" t="s">
        <v>2133</v>
      </c>
      <c r="K1453" t="s">
        <v>2125</v>
      </c>
    </row>
    <row r="1454" spans="1:11" x14ac:dyDescent="0.3">
      <c r="B1454" t="s">
        <v>2111</v>
      </c>
      <c r="C1454" t="s">
        <v>2111</v>
      </c>
      <c r="D1454" t="s">
        <v>2111</v>
      </c>
      <c r="E1454" t="s">
        <v>2111</v>
      </c>
      <c r="F1454" t="s">
        <v>2126</v>
      </c>
      <c r="G1454" t="s">
        <v>2111</v>
      </c>
      <c r="H1454" t="s">
        <v>2111</v>
      </c>
      <c r="I1454" t="s">
        <v>2134</v>
      </c>
      <c r="J1454" t="s">
        <v>2047</v>
      </c>
      <c r="K1454" t="s">
        <v>2126</v>
      </c>
    </row>
    <row r="1455" spans="1:11" x14ac:dyDescent="0.3">
      <c r="A1455" t="s">
        <v>39</v>
      </c>
      <c r="B1455" t="s">
        <v>2135</v>
      </c>
      <c r="C1455" t="s">
        <v>2119</v>
      </c>
      <c r="D1455" t="s">
        <v>2135</v>
      </c>
      <c r="E1455" t="s">
        <v>2119</v>
      </c>
      <c r="F1455" t="s">
        <v>2048</v>
      </c>
      <c r="G1455" t="s">
        <v>2135</v>
      </c>
      <c r="H1455" t="s">
        <v>2119</v>
      </c>
      <c r="I1455" t="s">
        <v>2048</v>
      </c>
      <c r="J1455" t="s">
        <v>2048</v>
      </c>
      <c r="K1455" t="s">
        <v>2048</v>
      </c>
    </row>
    <row r="1456" spans="1:11" x14ac:dyDescent="0.3">
      <c r="A1456" t="s">
        <v>176</v>
      </c>
      <c r="B1456" t="s">
        <v>1234</v>
      </c>
      <c r="C1456" t="s">
        <v>1234</v>
      </c>
      <c r="D1456" t="s">
        <v>1234</v>
      </c>
      <c r="E1456" t="s">
        <v>1234</v>
      </c>
      <c r="F1456" t="s">
        <v>1234</v>
      </c>
      <c r="G1456" t="s">
        <v>1234</v>
      </c>
      <c r="H1456" t="s">
        <v>1234</v>
      </c>
      <c r="I1456" t="s">
        <v>1234</v>
      </c>
      <c r="J1456" t="s">
        <v>1234</v>
      </c>
      <c r="K1456" t="s">
        <v>1234</v>
      </c>
    </row>
    <row r="1457" spans="1:11" x14ac:dyDescent="0.3">
      <c r="A1457" t="s">
        <v>291</v>
      </c>
      <c r="B1457" t="s">
        <v>1234</v>
      </c>
      <c r="C1457" t="s">
        <v>1234</v>
      </c>
      <c r="D1457" t="s">
        <v>1234</v>
      </c>
      <c r="E1457" t="s">
        <v>1234</v>
      </c>
      <c r="F1457" t="s">
        <v>1234</v>
      </c>
      <c r="G1457" t="s">
        <v>1234</v>
      </c>
      <c r="H1457" t="s">
        <v>1234</v>
      </c>
      <c r="I1457" t="s">
        <v>1234</v>
      </c>
      <c r="J1457" t="s">
        <v>1234</v>
      </c>
      <c r="K1457" t="s">
        <v>1234</v>
      </c>
    </row>
    <row r="1458" spans="1:11" x14ac:dyDescent="0.3">
      <c r="A1458" t="s">
        <v>394</v>
      </c>
      <c r="B1458" t="s">
        <v>1234</v>
      </c>
      <c r="C1458" t="s">
        <v>1234</v>
      </c>
      <c r="D1458" t="s">
        <v>1234</v>
      </c>
      <c r="E1458" t="s">
        <v>1234</v>
      </c>
      <c r="F1458" t="s">
        <v>1234</v>
      </c>
      <c r="G1458" t="s">
        <v>1234</v>
      </c>
      <c r="H1458" t="s">
        <v>1234</v>
      </c>
      <c r="I1458" t="s">
        <v>1234</v>
      </c>
      <c r="J1458" t="s">
        <v>1234</v>
      </c>
      <c r="K1458" t="s">
        <v>1234</v>
      </c>
    </row>
    <row r="1459" spans="1:11" x14ac:dyDescent="0.3">
      <c r="A1459" t="s">
        <v>480</v>
      </c>
      <c r="B1459" t="s">
        <v>1234</v>
      </c>
      <c r="C1459" t="s">
        <v>1234</v>
      </c>
      <c r="D1459" t="s">
        <v>1234</v>
      </c>
      <c r="E1459" t="s">
        <v>1234</v>
      </c>
      <c r="F1459" t="s">
        <v>1234</v>
      </c>
      <c r="G1459" t="s">
        <v>1234</v>
      </c>
      <c r="H1459" t="s">
        <v>1234</v>
      </c>
      <c r="I1459" t="s">
        <v>1234</v>
      </c>
      <c r="J1459" t="s">
        <v>1234</v>
      </c>
      <c r="K1459" t="s">
        <v>1234</v>
      </c>
    </row>
    <row r="1460" spans="1:11" x14ac:dyDescent="0.3">
      <c r="A1460" t="s">
        <v>572</v>
      </c>
      <c r="B1460" t="s">
        <v>1234</v>
      </c>
      <c r="C1460" t="s">
        <v>1234</v>
      </c>
      <c r="D1460" t="s">
        <v>1234</v>
      </c>
      <c r="E1460" t="s">
        <v>1234</v>
      </c>
      <c r="F1460" t="s">
        <v>1234</v>
      </c>
      <c r="G1460" t="s">
        <v>1234</v>
      </c>
      <c r="H1460" t="s">
        <v>1234</v>
      </c>
      <c r="I1460" t="s">
        <v>1234</v>
      </c>
      <c r="J1460" t="s">
        <v>1234</v>
      </c>
      <c r="K1460" t="s">
        <v>1234</v>
      </c>
    </row>
    <row r="1461" spans="1:11" x14ac:dyDescent="0.3">
      <c r="A1461" t="s">
        <v>666</v>
      </c>
      <c r="B1461" t="s">
        <v>1234</v>
      </c>
      <c r="C1461" t="s">
        <v>1234</v>
      </c>
      <c r="D1461" t="s">
        <v>1234</v>
      </c>
      <c r="E1461" t="s">
        <v>1234</v>
      </c>
      <c r="F1461" t="s">
        <v>1234</v>
      </c>
      <c r="G1461" t="s">
        <v>1234</v>
      </c>
      <c r="H1461" t="s">
        <v>1234</v>
      </c>
      <c r="I1461" t="s">
        <v>1234</v>
      </c>
      <c r="J1461" t="s">
        <v>1234</v>
      </c>
      <c r="K1461" t="s">
        <v>1234</v>
      </c>
    </row>
    <row r="1462" spans="1:11" x14ac:dyDescent="0.3">
      <c r="A1462" t="s">
        <v>747</v>
      </c>
      <c r="B1462" t="s">
        <v>1234</v>
      </c>
      <c r="C1462" t="s">
        <v>1234</v>
      </c>
      <c r="D1462" t="s">
        <v>1234</v>
      </c>
      <c r="E1462" t="s">
        <v>1234</v>
      </c>
      <c r="F1462" t="s">
        <v>1234</v>
      </c>
      <c r="G1462" t="s">
        <v>1234</v>
      </c>
      <c r="H1462" t="s">
        <v>1234</v>
      </c>
      <c r="I1462" t="s">
        <v>1234</v>
      </c>
      <c r="J1462" t="s">
        <v>1234</v>
      </c>
      <c r="K1462" t="s">
        <v>1234</v>
      </c>
    </row>
    <row r="1463" spans="1:11" x14ac:dyDescent="0.3">
      <c r="A1463" t="s">
        <v>835</v>
      </c>
      <c r="B1463" t="s">
        <v>1234</v>
      </c>
      <c r="C1463" t="s">
        <v>1234</v>
      </c>
      <c r="D1463" t="s">
        <v>1234</v>
      </c>
      <c r="E1463" t="s">
        <v>1234</v>
      </c>
      <c r="F1463" t="s">
        <v>1234</v>
      </c>
      <c r="G1463" t="s">
        <v>1234</v>
      </c>
      <c r="H1463" t="s">
        <v>1234</v>
      </c>
      <c r="I1463" t="s">
        <v>1234</v>
      </c>
      <c r="J1463" t="s">
        <v>1234</v>
      </c>
      <c r="K1463" t="s">
        <v>1234</v>
      </c>
    </row>
    <row r="1464" spans="1:11" x14ac:dyDescent="0.3">
      <c r="A1464" t="s">
        <v>902</v>
      </c>
      <c r="B1464" t="s">
        <v>1234</v>
      </c>
      <c r="C1464" t="s">
        <v>1234</v>
      </c>
      <c r="D1464" t="s">
        <v>1234</v>
      </c>
      <c r="E1464" t="s">
        <v>1234</v>
      </c>
      <c r="F1464" t="s">
        <v>1234</v>
      </c>
      <c r="G1464" t="s">
        <v>1234</v>
      </c>
      <c r="H1464" t="s">
        <v>1234</v>
      </c>
      <c r="I1464" t="s">
        <v>1234</v>
      </c>
      <c r="J1464" t="s">
        <v>1234</v>
      </c>
      <c r="K1464" t="s">
        <v>1234</v>
      </c>
    </row>
    <row r="1465" spans="1:11" x14ac:dyDescent="0.3">
      <c r="A1465" t="s">
        <v>972</v>
      </c>
      <c r="B1465" t="s">
        <v>1234</v>
      </c>
      <c r="C1465" t="s">
        <v>1234</v>
      </c>
      <c r="D1465" t="s">
        <v>1234</v>
      </c>
      <c r="E1465" t="s">
        <v>1234</v>
      </c>
      <c r="F1465" t="s">
        <v>1234</v>
      </c>
      <c r="G1465" t="s">
        <v>1234</v>
      </c>
      <c r="H1465" t="s">
        <v>1234</v>
      </c>
      <c r="I1465" t="s">
        <v>1234</v>
      </c>
      <c r="J1465" t="s">
        <v>1234</v>
      </c>
      <c r="K1465" t="s">
        <v>1234</v>
      </c>
    </row>
    <row r="1466" spans="1:11" x14ac:dyDescent="0.3">
      <c r="A1466" t="s">
        <v>1046</v>
      </c>
      <c r="B1466" t="s">
        <v>1234</v>
      </c>
      <c r="C1466" t="s">
        <v>1234</v>
      </c>
      <c r="D1466" t="s">
        <v>1234</v>
      </c>
      <c r="E1466" t="s">
        <v>1234</v>
      </c>
      <c r="F1466" t="s">
        <v>1234</v>
      </c>
      <c r="G1466" t="s">
        <v>1234</v>
      </c>
      <c r="H1466" t="s">
        <v>1234</v>
      </c>
      <c r="I1466" t="s">
        <v>1234</v>
      </c>
      <c r="J1466" t="s">
        <v>1234</v>
      </c>
      <c r="K1466" t="s">
        <v>1234</v>
      </c>
    </row>
    <row r="1467" spans="1:11" x14ac:dyDescent="0.3">
      <c r="A1467" t="s">
        <v>1110</v>
      </c>
      <c r="B1467" t="s">
        <v>1234</v>
      </c>
      <c r="C1467" t="s">
        <v>1234</v>
      </c>
      <c r="D1467" t="s">
        <v>1234</v>
      </c>
      <c r="E1467" t="s">
        <v>1234</v>
      </c>
      <c r="F1467" t="s">
        <v>1234</v>
      </c>
      <c r="G1467" t="s">
        <v>1234</v>
      </c>
      <c r="H1467" t="s">
        <v>1234</v>
      </c>
      <c r="I1467" t="s">
        <v>1234</v>
      </c>
      <c r="J1467" t="s">
        <v>1234</v>
      </c>
      <c r="K1467" t="s">
        <v>1234</v>
      </c>
    </row>
    <row r="1469" spans="1:11" x14ac:dyDescent="0.3">
      <c r="A1469" s="23" t="s">
        <v>2136</v>
      </c>
      <c r="B1469" s="24"/>
      <c r="C1469" s="24"/>
      <c r="D1469" s="24"/>
      <c r="E1469" s="24"/>
    </row>
    <row r="1470" spans="1:11" x14ac:dyDescent="0.3">
      <c r="B1470" t="s">
        <v>2128</v>
      </c>
    </row>
    <row r="1471" spans="1:11" x14ac:dyDescent="0.3">
      <c r="B1471" t="s">
        <v>2129</v>
      </c>
    </row>
    <row r="1472" spans="1:11" x14ac:dyDescent="0.3">
      <c r="A1472" t="s">
        <v>39</v>
      </c>
      <c r="B1472" t="s">
        <v>2119</v>
      </c>
    </row>
    <row r="1473" spans="1:5" x14ac:dyDescent="0.3">
      <c r="A1473" t="s">
        <v>176</v>
      </c>
      <c r="B1473" t="s">
        <v>1234</v>
      </c>
    </row>
    <row r="1474" spans="1:5" x14ac:dyDescent="0.3">
      <c r="A1474" t="s">
        <v>291</v>
      </c>
      <c r="B1474" t="s">
        <v>1234</v>
      </c>
    </row>
    <row r="1475" spans="1:5" x14ac:dyDescent="0.3">
      <c r="A1475" t="s">
        <v>394</v>
      </c>
      <c r="B1475" t="s">
        <v>1234</v>
      </c>
    </row>
    <row r="1476" spans="1:5" x14ac:dyDescent="0.3">
      <c r="A1476" t="s">
        <v>480</v>
      </c>
      <c r="B1476" t="s">
        <v>1234</v>
      </c>
    </row>
    <row r="1477" spans="1:5" x14ac:dyDescent="0.3">
      <c r="A1477" t="s">
        <v>572</v>
      </c>
      <c r="B1477" t="s">
        <v>1234</v>
      </c>
    </row>
    <row r="1478" spans="1:5" x14ac:dyDescent="0.3">
      <c r="A1478" t="s">
        <v>666</v>
      </c>
      <c r="B1478" t="s">
        <v>1234</v>
      </c>
    </row>
    <row r="1479" spans="1:5" x14ac:dyDescent="0.3">
      <c r="A1479" t="s">
        <v>747</v>
      </c>
      <c r="B1479" t="s">
        <v>1234</v>
      </c>
    </row>
    <row r="1480" spans="1:5" x14ac:dyDescent="0.3">
      <c r="A1480" t="s">
        <v>835</v>
      </c>
      <c r="B1480" t="s">
        <v>1234</v>
      </c>
    </row>
    <row r="1481" spans="1:5" x14ac:dyDescent="0.3">
      <c r="A1481" t="s">
        <v>902</v>
      </c>
      <c r="B1481" t="s">
        <v>1234</v>
      </c>
    </row>
    <row r="1482" spans="1:5" x14ac:dyDescent="0.3">
      <c r="A1482" t="s">
        <v>972</v>
      </c>
      <c r="B1482" t="s">
        <v>1234</v>
      </c>
    </row>
    <row r="1483" spans="1:5" x14ac:dyDescent="0.3">
      <c r="A1483" t="s">
        <v>1046</v>
      </c>
      <c r="B1483" t="s">
        <v>1234</v>
      </c>
    </row>
    <row r="1484" spans="1:5" x14ac:dyDescent="0.3">
      <c r="A1484" t="s">
        <v>1110</v>
      </c>
      <c r="B1484" t="s">
        <v>1234</v>
      </c>
    </row>
    <row r="1485" spans="1:5" s="4" customFormat="1" x14ac:dyDescent="0.3">
      <c r="A1485" s="4" t="s">
        <v>1203</v>
      </c>
      <c r="B1485" s="4" t="s">
        <v>1234</v>
      </c>
    </row>
    <row r="1486" spans="1:5" s="4" customFormat="1" x14ac:dyDescent="0.3">
      <c r="A1486" s="4" t="s">
        <v>2262</v>
      </c>
      <c r="B1486" s="4" t="s">
        <v>1234</v>
      </c>
    </row>
    <row r="1487" spans="1:5" s="4" customFormat="1" x14ac:dyDescent="0.3"/>
    <row r="1488" spans="1:5" s="4" customFormat="1" x14ac:dyDescent="0.3">
      <c r="A1488" s="25" t="s">
        <v>2423</v>
      </c>
      <c r="B1488" s="24"/>
      <c r="C1488" s="24"/>
      <c r="D1488" s="24"/>
      <c r="E1488" s="24"/>
    </row>
    <row r="1489" spans="1:23" s="4" customFormat="1" x14ac:dyDescent="0.3">
      <c r="B1489" s="4" t="s">
        <v>2138</v>
      </c>
      <c r="C1489" s="4" t="s">
        <v>2140</v>
      </c>
      <c r="D1489" s="4" t="s">
        <v>2142</v>
      </c>
      <c r="E1489" s="4" t="s">
        <v>10</v>
      </c>
      <c r="F1489" s="4" t="s">
        <v>10</v>
      </c>
      <c r="G1489" s="4" t="s">
        <v>10</v>
      </c>
      <c r="H1489" s="4" t="s">
        <v>2144</v>
      </c>
      <c r="I1489" s="4" t="s">
        <v>2146</v>
      </c>
      <c r="J1489" s="4" t="s">
        <v>2148</v>
      </c>
      <c r="K1489" s="4" t="s">
        <v>2424</v>
      </c>
      <c r="L1489" s="4" t="s">
        <v>15</v>
      </c>
      <c r="M1489" s="4" t="s">
        <v>15</v>
      </c>
    </row>
    <row r="1490" spans="1:23" s="4" customFormat="1" x14ac:dyDescent="0.3">
      <c r="B1490" s="4" t="s">
        <v>2153</v>
      </c>
      <c r="C1490" s="4" t="s">
        <v>2153</v>
      </c>
      <c r="D1490" s="4" t="s">
        <v>2061</v>
      </c>
      <c r="E1490" s="4" t="s">
        <v>19</v>
      </c>
      <c r="F1490" s="4" t="s">
        <v>19</v>
      </c>
      <c r="G1490" s="4" t="s">
        <v>19</v>
      </c>
      <c r="H1490" s="4" t="s">
        <v>2153</v>
      </c>
      <c r="I1490" s="4" t="s">
        <v>2153</v>
      </c>
      <c r="J1490" s="4" t="s">
        <v>2061</v>
      </c>
      <c r="K1490" s="4" t="s">
        <v>2154</v>
      </c>
      <c r="L1490" s="4" t="s">
        <v>2155</v>
      </c>
      <c r="M1490" s="4" t="s">
        <v>2155</v>
      </c>
    </row>
    <row r="1491" spans="1:23" s="4" customFormat="1" x14ac:dyDescent="0.3">
      <c r="A1491" s="4" t="s">
        <v>39</v>
      </c>
      <c r="B1491" s="4" t="s">
        <v>2156</v>
      </c>
      <c r="C1491" s="4" t="s">
        <v>2156</v>
      </c>
      <c r="D1491" s="4" t="s">
        <v>2156</v>
      </c>
      <c r="E1491" s="4" t="s">
        <v>2157</v>
      </c>
      <c r="F1491" s="4" t="s">
        <v>45</v>
      </c>
      <c r="G1491" s="4" t="s">
        <v>41</v>
      </c>
      <c r="H1491" s="4" t="s">
        <v>2156</v>
      </c>
      <c r="I1491" s="4" t="s">
        <v>2156</v>
      </c>
      <c r="J1491" s="4" t="s">
        <v>2156</v>
      </c>
      <c r="K1491" s="4" t="s">
        <v>2156</v>
      </c>
      <c r="L1491" s="4" t="s">
        <v>47</v>
      </c>
      <c r="M1491" s="4" t="s">
        <v>46</v>
      </c>
    </row>
    <row r="1492" spans="1:23" s="4" customFormat="1" x14ac:dyDescent="0.3">
      <c r="A1492" s="4" t="s">
        <v>2301</v>
      </c>
      <c r="B1492" s="4" t="s">
        <v>251</v>
      </c>
      <c r="C1492" s="4" t="s">
        <v>871</v>
      </c>
      <c r="D1492" s="4" t="s">
        <v>52</v>
      </c>
      <c r="E1492" s="4" t="s">
        <v>86</v>
      </c>
      <c r="F1492" s="4" t="s">
        <v>86</v>
      </c>
      <c r="G1492" s="4" t="s">
        <v>86</v>
      </c>
      <c r="H1492" s="4" t="s">
        <v>2159</v>
      </c>
      <c r="I1492" s="4" t="s">
        <v>2159</v>
      </c>
      <c r="J1492" s="4" t="s">
        <v>52</v>
      </c>
      <c r="K1492" s="4" t="s">
        <v>2159</v>
      </c>
      <c r="L1492" s="4" t="s">
        <v>86</v>
      </c>
      <c r="M1492" s="4" t="s">
        <v>86</v>
      </c>
    </row>
    <row r="1493" spans="1:23" s="4" customFormat="1" x14ac:dyDescent="0.3"/>
    <row r="1494" spans="1:23" s="4" customFormat="1" x14ac:dyDescent="0.3"/>
    <row r="1495" spans="1:23" s="4" customFormat="1" x14ac:dyDescent="0.3"/>
    <row r="1496" spans="1:23" s="4" customFormat="1" x14ac:dyDescent="0.3"/>
    <row r="1497" spans="1:23" s="4" customFormat="1" x14ac:dyDescent="0.3"/>
    <row r="1499" spans="1:23" x14ac:dyDescent="0.3">
      <c r="A1499" s="23" t="s">
        <v>2137</v>
      </c>
      <c r="B1499" s="24"/>
      <c r="C1499" s="24"/>
      <c r="D1499" s="24"/>
      <c r="E1499" s="24"/>
    </row>
    <row r="1500" spans="1:23" x14ac:dyDescent="0.3">
      <c r="B1500" t="s">
        <v>2138</v>
      </c>
      <c r="C1500" t="s">
        <v>2139</v>
      </c>
      <c r="D1500" t="s">
        <v>2140</v>
      </c>
      <c r="E1500" t="s">
        <v>2141</v>
      </c>
      <c r="F1500" t="s">
        <v>2142</v>
      </c>
      <c r="G1500" t="s">
        <v>2143</v>
      </c>
      <c r="H1500" t="s">
        <v>10</v>
      </c>
      <c r="I1500" t="s">
        <v>10</v>
      </c>
      <c r="J1500" t="s">
        <v>10</v>
      </c>
      <c r="K1500" t="s">
        <v>2144</v>
      </c>
      <c r="L1500" t="s">
        <v>2145</v>
      </c>
      <c r="O1500" t="s">
        <v>2146</v>
      </c>
      <c r="P1500" t="s">
        <v>2147</v>
      </c>
      <c r="Q1500" t="s">
        <v>2148</v>
      </c>
      <c r="R1500" t="s">
        <v>2149</v>
      </c>
      <c r="S1500" t="s">
        <v>2150</v>
      </c>
      <c r="T1500" t="s">
        <v>2151</v>
      </c>
      <c r="U1500" t="s">
        <v>2152</v>
      </c>
      <c r="V1500" t="s">
        <v>15</v>
      </c>
      <c r="W1500" t="s">
        <v>15</v>
      </c>
    </row>
    <row r="1501" spans="1:23" x14ac:dyDescent="0.3">
      <c r="B1501" t="s">
        <v>2153</v>
      </c>
      <c r="C1501" t="s">
        <v>2153</v>
      </c>
      <c r="D1501" t="s">
        <v>2153</v>
      </c>
      <c r="E1501" t="s">
        <v>2153</v>
      </c>
      <c r="F1501" t="s">
        <v>2061</v>
      </c>
      <c r="G1501" t="s">
        <v>2061</v>
      </c>
      <c r="H1501" t="s">
        <v>19</v>
      </c>
      <c r="I1501" t="s">
        <v>19</v>
      </c>
      <c r="J1501" t="s">
        <v>19</v>
      </c>
      <c r="K1501" t="s">
        <v>2153</v>
      </c>
      <c r="L1501" t="s">
        <v>2153</v>
      </c>
      <c r="O1501" t="s">
        <v>2153</v>
      </c>
      <c r="P1501" t="s">
        <v>2153</v>
      </c>
      <c r="Q1501" t="s">
        <v>2061</v>
      </c>
      <c r="R1501" t="s">
        <v>2061</v>
      </c>
      <c r="S1501" t="s">
        <v>2154</v>
      </c>
      <c r="T1501" t="s">
        <v>2061</v>
      </c>
      <c r="U1501" t="s">
        <v>2061</v>
      </c>
      <c r="V1501" t="s">
        <v>2155</v>
      </c>
      <c r="W1501" t="s">
        <v>2155</v>
      </c>
    </row>
    <row r="1502" spans="1:23" x14ac:dyDescent="0.3">
      <c r="A1502" t="s">
        <v>39</v>
      </c>
      <c r="B1502" t="s">
        <v>2156</v>
      </c>
      <c r="C1502" t="s">
        <v>2156</v>
      </c>
      <c r="D1502" t="s">
        <v>2156</v>
      </c>
      <c r="E1502" t="s">
        <v>2156</v>
      </c>
      <c r="F1502" t="s">
        <v>2156</v>
      </c>
      <c r="G1502" t="s">
        <v>2156</v>
      </c>
      <c r="H1502" t="s">
        <v>2157</v>
      </c>
      <c r="I1502" t="s">
        <v>45</v>
      </c>
      <c r="J1502" t="s">
        <v>41</v>
      </c>
      <c r="K1502" t="s">
        <v>2156</v>
      </c>
      <c r="L1502" t="s">
        <v>2156</v>
      </c>
      <c r="O1502" t="s">
        <v>2156</v>
      </c>
      <c r="P1502" t="s">
        <v>2156</v>
      </c>
      <c r="Q1502" t="s">
        <v>2156</v>
      </c>
      <c r="R1502" t="s">
        <v>2156</v>
      </c>
      <c r="S1502" t="s">
        <v>2156</v>
      </c>
      <c r="T1502" t="s">
        <v>2156</v>
      </c>
      <c r="U1502" t="s">
        <v>2156</v>
      </c>
      <c r="V1502" t="s">
        <v>2157</v>
      </c>
      <c r="W1502" t="s">
        <v>45</v>
      </c>
    </row>
    <row r="1503" spans="1:23" x14ac:dyDescent="0.3">
      <c r="A1503" t="s">
        <v>72</v>
      </c>
      <c r="B1503" t="s">
        <v>52</v>
      </c>
      <c r="C1503" t="s">
        <v>160</v>
      </c>
      <c r="D1503" t="s">
        <v>2158</v>
      </c>
      <c r="E1503" t="s">
        <v>134</v>
      </c>
      <c r="F1503" t="s">
        <v>52</v>
      </c>
      <c r="G1503" t="s">
        <v>52</v>
      </c>
      <c r="H1503" t="s">
        <v>1197</v>
      </c>
      <c r="I1503" t="s">
        <v>1197</v>
      </c>
      <c r="J1503" t="s">
        <v>1197</v>
      </c>
      <c r="K1503" t="s">
        <v>2159</v>
      </c>
      <c r="L1503" t="s">
        <v>2159</v>
      </c>
      <c r="O1503" t="s">
        <v>2159</v>
      </c>
      <c r="P1503" t="s">
        <v>2159</v>
      </c>
      <c r="Q1503" t="s">
        <v>52</v>
      </c>
      <c r="R1503" t="s">
        <v>52</v>
      </c>
      <c r="S1503" t="s">
        <v>2159</v>
      </c>
      <c r="V1503" t="s">
        <v>147</v>
      </c>
      <c r="W1503" t="s">
        <v>107</v>
      </c>
    </row>
    <row r="1504" spans="1:23" x14ac:dyDescent="0.3">
      <c r="A1504" t="s">
        <v>109</v>
      </c>
      <c r="B1504" t="s">
        <v>52</v>
      </c>
      <c r="C1504" t="s">
        <v>553</v>
      </c>
      <c r="D1504" t="s">
        <v>1313</v>
      </c>
      <c r="E1504" t="s">
        <v>2160</v>
      </c>
      <c r="F1504" t="s">
        <v>52</v>
      </c>
      <c r="G1504" t="s">
        <v>52</v>
      </c>
      <c r="H1504" t="s">
        <v>1197</v>
      </c>
      <c r="I1504" t="s">
        <v>2161</v>
      </c>
      <c r="J1504" t="s">
        <v>2162</v>
      </c>
      <c r="K1504" t="s">
        <v>2159</v>
      </c>
      <c r="L1504" t="s">
        <v>2159</v>
      </c>
      <c r="O1504" t="s">
        <v>2159</v>
      </c>
      <c r="P1504" t="s">
        <v>2159</v>
      </c>
      <c r="Q1504" t="s">
        <v>52</v>
      </c>
      <c r="R1504" t="s">
        <v>52</v>
      </c>
      <c r="S1504" t="s">
        <v>2159</v>
      </c>
      <c r="V1504" t="s">
        <v>133</v>
      </c>
      <c r="W1504" t="s">
        <v>133</v>
      </c>
    </row>
    <row r="1505" spans="1:23" x14ac:dyDescent="0.3">
      <c r="A1505" t="s">
        <v>148</v>
      </c>
      <c r="B1505" t="s">
        <v>52</v>
      </c>
      <c r="C1505" t="s">
        <v>224</v>
      </c>
      <c r="D1505" t="s">
        <v>1446</v>
      </c>
      <c r="E1505" t="s">
        <v>2163</v>
      </c>
      <c r="F1505" t="s">
        <v>52</v>
      </c>
      <c r="G1505" t="s">
        <v>52</v>
      </c>
      <c r="H1505" t="s">
        <v>956</v>
      </c>
      <c r="I1505" t="s">
        <v>301</v>
      </c>
      <c r="J1505" t="s">
        <v>66</v>
      </c>
      <c r="K1505" t="s">
        <v>2159</v>
      </c>
      <c r="L1505" t="s">
        <v>2159</v>
      </c>
      <c r="O1505" t="s">
        <v>2159</v>
      </c>
      <c r="P1505" t="s">
        <v>2159</v>
      </c>
      <c r="Q1505" t="s">
        <v>52</v>
      </c>
      <c r="R1505" t="s">
        <v>52</v>
      </c>
      <c r="S1505" t="s">
        <v>2159</v>
      </c>
      <c r="V1505" t="s">
        <v>60</v>
      </c>
      <c r="W1505" t="s">
        <v>158</v>
      </c>
    </row>
    <row r="1506" spans="1:23" x14ac:dyDescent="0.3">
      <c r="A1506" t="s">
        <v>176</v>
      </c>
      <c r="B1506" t="s">
        <v>52</v>
      </c>
      <c r="C1506" t="s">
        <v>160</v>
      </c>
      <c r="D1506" t="s">
        <v>636</v>
      </c>
      <c r="E1506" t="s">
        <v>2164</v>
      </c>
      <c r="F1506" t="s">
        <v>52</v>
      </c>
      <c r="G1506" t="s">
        <v>52</v>
      </c>
      <c r="H1506" t="s">
        <v>1197</v>
      </c>
      <c r="I1506" t="s">
        <v>1197</v>
      </c>
      <c r="J1506" t="s">
        <v>1197</v>
      </c>
      <c r="K1506" t="s">
        <v>2159</v>
      </c>
      <c r="L1506" t="s">
        <v>2159</v>
      </c>
      <c r="O1506" t="s">
        <v>2159</v>
      </c>
      <c r="P1506" t="s">
        <v>2159</v>
      </c>
      <c r="Q1506" t="s">
        <v>52</v>
      </c>
      <c r="R1506" t="s">
        <v>52</v>
      </c>
      <c r="S1506" t="s">
        <v>2159</v>
      </c>
      <c r="T1506" t="s">
        <v>2165</v>
      </c>
      <c r="U1506" t="s">
        <v>2165</v>
      </c>
      <c r="V1506" t="s">
        <v>133</v>
      </c>
      <c r="W1506" t="s">
        <v>133</v>
      </c>
    </row>
    <row r="1507" spans="1:23" x14ac:dyDescent="0.3">
      <c r="A1507" t="s">
        <v>200</v>
      </c>
      <c r="B1507" t="s">
        <v>52</v>
      </c>
      <c r="C1507" t="s">
        <v>160</v>
      </c>
      <c r="D1507" t="s">
        <v>1077</v>
      </c>
      <c r="E1507" t="s">
        <v>2166</v>
      </c>
      <c r="F1507" t="s">
        <v>52</v>
      </c>
      <c r="G1507" t="s">
        <v>52</v>
      </c>
      <c r="H1507" t="s">
        <v>2167</v>
      </c>
      <c r="I1507" t="s">
        <v>2168</v>
      </c>
      <c r="J1507" t="s">
        <v>2169</v>
      </c>
      <c r="K1507" t="s">
        <v>2159</v>
      </c>
      <c r="L1507" t="s">
        <v>2159</v>
      </c>
      <c r="O1507" t="s">
        <v>2159</v>
      </c>
      <c r="P1507" t="s">
        <v>2159</v>
      </c>
      <c r="Q1507" t="s">
        <v>52</v>
      </c>
      <c r="R1507" t="s">
        <v>52</v>
      </c>
      <c r="S1507" t="s">
        <v>2159</v>
      </c>
      <c r="V1507" t="s">
        <v>133</v>
      </c>
      <c r="W1507" t="s">
        <v>133</v>
      </c>
    </row>
    <row r="1508" spans="1:23" x14ac:dyDescent="0.3">
      <c r="A1508" t="s">
        <v>227</v>
      </c>
      <c r="B1508" t="s">
        <v>52</v>
      </c>
      <c r="C1508" t="s">
        <v>52</v>
      </c>
      <c r="D1508" t="s">
        <v>1403</v>
      </c>
      <c r="E1508" t="s">
        <v>2170</v>
      </c>
      <c r="F1508" t="s">
        <v>52</v>
      </c>
      <c r="G1508" t="s">
        <v>52</v>
      </c>
      <c r="H1508" t="s">
        <v>1197</v>
      </c>
      <c r="I1508" t="s">
        <v>123</v>
      </c>
      <c r="J1508" t="s">
        <v>2171</v>
      </c>
      <c r="K1508" t="s">
        <v>2159</v>
      </c>
      <c r="L1508" t="s">
        <v>2159</v>
      </c>
      <c r="O1508" t="s">
        <v>2159</v>
      </c>
      <c r="P1508" t="s">
        <v>2159</v>
      </c>
      <c r="Q1508" t="s">
        <v>52</v>
      </c>
      <c r="R1508" t="s">
        <v>52</v>
      </c>
      <c r="S1508" t="s">
        <v>2159</v>
      </c>
      <c r="V1508" t="s">
        <v>133</v>
      </c>
      <c r="W1508" t="s">
        <v>158</v>
      </c>
    </row>
    <row r="1509" spans="1:23" x14ac:dyDescent="0.3">
      <c r="A1509" t="s">
        <v>262</v>
      </c>
      <c r="B1509" t="s">
        <v>52</v>
      </c>
      <c r="C1509" t="s">
        <v>553</v>
      </c>
      <c r="D1509" t="s">
        <v>2172</v>
      </c>
      <c r="E1509" t="s">
        <v>2173</v>
      </c>
      <c r="F1509" t="s">
        <v>52</v>
      </c>
      <c r="G1509" t="s">
        <v>52</v>
      </c>
      <c r="H1509" t="s">
        <v>1223</v>
      </c>
      <c r="I1509" t="s">
        <v>224</v>
      </c>
      <c r="J1509" t="s">
        <v>2174</v>
      </c>
      <c r="K1509" t="s">
        <v>2159</v>
      </c>
      <c r="L1509" t="s">
        <v>2159</v>
      </c>
      <c r="O1509" t="s">
        <v>2159</v>
      </c>
      <c r="P1509" t="s">
        <v>2159</v>
      </c>
      <c r="Q1509" t="s">
        <v>52</v>
      </c>
      <c r="R1509" t="s">
        <v>52</v>
      </c>
      <c r="S1509" t="s">
        <v>2159</v>
      </c>
      <c r="V1509" t="s">
        <v>228</v>
      </c>
      <c r="W1509" t="s">
        <v>60</v>
      </c>
    </row>
    <row r="1510" spans="1:23" x14ac:dyDescent="0.3">
      <c r="A1510" t="s">
        <v>291</v>
      </c>
      <c r="B1510" t="s">
        <v>52</v>
      </c>
      <c r="C1510" t="s">
        <v>224</v>
      </c>
      <c r="D1510" t="s">
        <v>729</v>
      </c>
      <c r="E1510" t="s">
        <v>2175</v>
      </c>
      <c r="F1510" t="s">
        <v>52</v>
      </c>
      <c r="G1510" t="s">
        <v>52</v>
      </c>
      <c r="H1510" t="s">
        <v>117</v>
      </c>
      <c r="I1510" t="s">
        <v>770</v>
      </c>
      <c r="J1510" t="s">
        <v>2176</v>
      </c>
      <c r="K1510" t="s">
        <v>2159</v>
      </c>
      <c r="L1510" t="s">
        <v>2159</v>
      </c>
      <c r="O1510" t="s">
        <v>2159</v>
      </c>
      <c r="P1510" t="s">
        <v>2159</v>
      </c>
      <c r="Q1510" t="s">
        <v>52</v>
      </c>
      <c r="R1510" t="s">
        <v>52</v>
      </c>
      <c r="S1510" t="s">
        <v>2159</v>
      </c>
      <c r="T1510" t="s">
        <v>2165</v>
      </c>
      <c r="U1510" t="s">
        <v>2165</v>
      </c>
      <c r="V1510" t="s">
        <v>158</v>
      </c>
      <c r="W1510" t="s">
        <v>158</v>
      </c>
    </row>
    <row r="1511" spans="1:23" x14ac:dyDescent="0.3">
      <c r="A1511" t="s">
        <v>310</v>
      </c>
      <c r="B1511" t="s">
        <v>52</v>
      </c>
      <c r="C1511" t="s">
        <v>443</v>
      </c>
      <c r="D1511" t="s">
        <v>804</v>
      </c>
      <c r="E1511" t="s">
        <v>729</v>
      </c>
      <c r="F1511" t="s">
        <v>52</v>
      </c>
      <c r="G1511" t="s">
        <v>52</v>
      </c>
      <c r="H1511" t="s">
        <v>1197</v>
      </c>
      <c r="I1511" t="s">
        <v>1147</v>
      </c>
      <c r="J1511" t="s">
        <v>2177</v>
      </c>
      <c r="K1511" t="s">
        <v>2159</v>
      </c>
      <c r="L1511" t="s">
        <v>2159</v>
      </c>
      <c r="O1511" t="s">
        <v>2159</v>
      </c>
      <c r="P1511" t="s">
        <v>2159</v>
      </c>
      <c r="Q1511" t="s">
        <v>52</v>
      </c>
      <c r="R1511" t="s">
        <v>52</v>
      </c>
      <c r="S1511" t="s">
        <v>2159</v>
      </c>
      <c r="V1511" t="s">
        <v>71</v>
      </c>
      <c r="W1511" t="s">
        <v>60</v>
      </c>
    </row>
    <row r="1512" spans="1:23" x14ac:dyDescent="0.3">
      <c r="A1512" t="s">
        <v>341</v>
      </c>
      <c r="B1512" t="s">
        <v>52</v>
      </c>
      <c r="C1512" t="s">
        <v>251</v>
      </c>
      <c r="D1512" t="s">
        <v>866</v>
      </c>
      <c r="E1512" t="s">
        <v>2178</v>
      </c>
      <c r="F1512" t="s">
        <v>52</v>
      </c>
      <c r="G1512" t="s">
        <v>52</v>
      </c>
      <c r="H1512" t="s">
        <v>1197</v>
      </c>
      <c r="I1512" t="s">
        <v>1688</v>
      </c>
      <c r="J1512" t="s">
        <v>2179</v>
      </c>
      <c r="K1512" t="s">
        <v>2159</v>
      </c>
      <c r="L1512" t="s">
        <v>2159</v>
      </c>
      <c r="O1512" t="s">
        <v>2159</v>
      </c>
      <c r="P1512" t="s">
        <v>2159</v>
      </c>
      <c r="Q1512" t="s">
        <v>52</v>
      </c>
      <c r="R1512" t="s">
        <v>52</v>
      </c>
      <c r="S1512" t="s">
        <v>2159</v>
      </c>
      <c r="T1512" t="s">
        <v>86</v>
      </c>
      <c r="U1512" t="s">
        <v>86</v>
      </c>
      <c r="V1512" t="s">
        <v>94</v>
      </c>
      <c r="W1512" t="s">
        <v>274</v>
      </c>
    </row>
    <row r="1513" spans="1:23" x14ac:dyDescent="0.3">
      <c r="A1513" t="s">
        <v>366</v>
      </c>
      <c r="B1513" t="s">
        <v>52</v>
      </c>
      <c r="C1513" t="s">
        <v>553</v>
      </c>
      <c r="D1513" t="s">
        <v>435</v>
      </c>
      <c r="E1513" t="s">
        <v>400</v>
      </c>
      <c r="F1513" t="s">
        <v>52</v>
      </c>
      <c r="G1513" t="s">
        <v>52</v>
      </c>
      <c r="H1513" t="s">
        <v>1197</v>
      </c>
      <c r="I1513" t="s">
        <v>1197</v>
      </c>
      <c r="J1513" t="s">
        <v>1197</v>
      </c>
      <c r="K1513" t="s">
        <v>2159</v>
      </c>
      <c r="L1513" t="s">
        <v>2159</v>
      </c>
      <c r="O1513" t="s">
        <v>2159</v>
      </c>
      <c r="P1513" t="s">
        <v>2159</v>
      </c>
      <c r="Q1513" t="s">
        <v>52</v>
      </c>
      <c r="R1513" t="s">
        <v>52</v>
      </c>
      <c r="S1513" t="s">
        <v>2159</v>
      </c>
      <c r="T1513" t="s">
        <v>86</v>
      </c>
      <c r="U1513" t="s">
        <v>86</v>
      </c>
      <c r="V1513" t="s">
        <v>71</v>
      </c>
      <c r="W1513" t="s">
        <v>158</v>
      </c>
    </row>
    <row r="1514" spans="1:23" x14ac:dyDescent="0.3">
      <c r="A1514" t="s">
        <v>394</v>
      </c>
      <c r="B1514" t="s">
        <v>52</v>
      </c>
      <c r="C1514" t="s">
        <v>553</v>
      </c>
      <c r="D1514" t="s">
        <v>1183</v>
      </c>
      <c r="E1514" t="s">
        <v>2180</v>
      </c>
      <c r="F1514" t="s">
        <v>52</v>
      </c>
      <c r="G1514" t="s">
        <v>52</v>
      </c>
      <c r="H1514" t="s">
        <v>1197</v>
      </c>
      <c r="I1514" t="s">
        <v>1197</v>
      </c>
      <c r="J1514" t="s">
        <v>1197</v>
      </c>
      <c r="K1514" t="s">
        <v>2159</v>
      </c>
      <c r="L1514" t="s">
        <v>2159</v>
      </c>
      <c r="O1514" t="s">
        <v>2159</v>
      </c>
      <c r="P1514" t="s">
        <v>2159</v>
      </c>
      <c r="Q1514" t="s">
        <v>52</v>
      </c>
      <c r="R1514" t="s">
        <v>52</v>
      </c>
      <c r="S1514" t="s">
        <v>2159</v>
      </c>
      <c r="T1514" t="s">
        <v>86</v>
      </c>
      <c r="U1514" t="s">
        <v>86</v>
      </c>
      <c r="V1514" t="s">
        <v>60</v>
      </c>
      <c r="W1514" t="s">
        <v>274</v>
      </c>
    </row>
    <row r="1515" spans="1:23" x14ac:dyDescent="0.3">
      <c r="A1515" t="s">
        <v>420</v>
      </c>
      <c r="B1515" t="s">
        <v>52</v>
      </c>
      <c r="C1515" t="s">
        <v>251</v>
      </c>
      <c r="D1515" t="s">
        <v>799</v>
      </c>
      <c r="E1515" t="s">
        <v>2181</v>
      </c>
      <c r="F1515" t="s">
        <v>52</v>
      </c>
      <c r="G1515" t="s">
        <v>52</v>
      </c>
      <c r="H1515" t="s">
        <v>1197</v>
      </c>
      <c r="I1515" t="s">
        <v>570</v>
      </c>
      <c r="J1515" t="s">
        <v>895</v>
      </c>
      <c r="K1515" t="s">
        <v>2159</v>
      </c>
      <c r="L1515" t="s">
        <v>2159</v>
      </c>
      <c r="O1515" t="s">
        <v>2159</v>
      </c>
      <c r="P1515" t="s">
        <v>2159</v>
      </c>
      <c r="Q1515" t="s">
        <v>52</v>
      </c>
      <c r="R1515" t="s">
        <v>52</v>
      </c>
      <c r="S1515" t="s">
        <v>2159</v>
      </c>
      <c r="T1515" t="s">
        <v>86</v>
      </c>
      <c r="U1515" t="s">
        <v>86</v>
      </c>
      <c r="V1515" t="s">
        <v>71</v>
      </c>
      <c r="W1515" t="s">
        <v>94</v>
      </c>
    </row>
    <row r="1516" spans="1:23" x14ac:dyDescent="0.3">
      <c r="A1516" t="s">
        <v>442</v>
      </c>
      <c r="B1516" t="s">
        <v>52</v>
      </c>
      <c r="C1516" t="s">
        <v>160</v>
      </c>
      <c r="D1516" t="s">
        <v>433</v>
      </c>
      <c r="E1516" t="s">
        <v>2182</v>
      </c>
      <c r="F1516" t="s">
        <v>52</v>
      </c>
      <c r="G1516" t="s">
        <v>52</v>
      </c>
      <c r="H1516" t="s">
        <v>1197</v>
      </c>
      <c r="I1516" t="s">
        <v>1197</v>
      </c>
      <c r="J1516" t="s">
        <v>1197</v>
      </c>
      <c r="K1516" t="s">
        <v>2159</v>
      </c>
      <c r="L1516" t="s">
        <v>2159</v>
      </c>
      <c r="O1516" t="s">
        <v>2159</v>
      </c>
      <c r="P1516" t="s">
        <v>2159</v>
      </c>
      <c r="Q1516" t="s">
        <v>52</v>
      </c>
      <c r="R1516" t="s">
        <v>52</v>
      </c>
      <c r="S1516" t="s">
        <v>2159</v>
      </c>
      <c r="T1516" t="s">
        <v>86</v>
      </c>
      <c r="U1516" t="s">
        <v>86</v>
      </c>
      <c r="V1516" t="s">
        <v>158</v>
      </c>
      <c r="W1516" t="s">
        <v>94</v>
      </c>
    </row>
    <row r="1517" spans="1:23" x14ac:dyDescent="0.3">
      <c r="A1517" t="s">
        <v>464</v>
      </c>
      <c r="B1517" t="s">
        <v>52</v>
      </c>
      <c r="C1517" t="s">
        <v>160</v>
      </c>
      <c r="D1517" t="s">
        <v>1521</v>
      </c>
      <c r="E1517" t="s">
        <v>2183</v>
      </c>
      <c r="F1517" t="s">
        <v>52</v>
      </c>
      <c r="G1517" t="s">
        <v>52</v>
      </c>
      <c r="H1517" t="s">
        <v>1197</v>
      </c>
      <c r="I1517" t="s">
        <v>1197</v>
      </c>
      <c r="J1517" t="s">
        <v>1197</v>
      </c>
      <c r="K1517" t="s">
        <v>2159</v>
      </c>
      <c r="L1517" t="s">
        <v>2159</v>
      </c>
      <c r="O1517" t="s">
        <v>2159</v>
      </c>
      <c r="P1517" t="s">
        <v>2159</v>
      </c>
      <c r="Q1517" t="s">
        <v>52</v>
      </c>
      <c r="R1517" t="s">
        <v>52</v>
      </c>
      <c r="S1517" t="s">
        <v>2159</v>
      </c>
      <c r="T1517" t="s">
        <v>86</v>
      </c>
      <c r="U1517" t="s">
        <v>86</v>
      </c>
      <c r="V1517" t="s">
        <v>94</v>
      </c>
      <c r="W1517" t="s">
        <v>134</v>
      </c>
    </row>
    <row r="1518" spans="1:23" x14ac:dyDescent="0.3">
      <c r="A1518" t="s">
        <v>480</v>
      </c>
      <c r="B1518" t="s">
        <v>871</v>
      </c>
      <c r="C1518" t="s">
        <v>251</v>
      </c>
      <c r="D1518" t="s">
        <v>1042</v>
      </c>
      <c r="E1518" t="s">
        <v>2184</v>
      </c>
      <c r="F1518" t="s">
        <v>52</v>
      </c>
      <c r="G1518" t="s">
        <v>52</v>
      </c>
      <c r="H1518" t="s">
        <v>1197</v>
      </c>
      <c r="I1518" t="s">
        <v>1197</v>
      </c>
      <c r="J1518" t="s">
        <v>1197</v>
      </c>
      <c r="K1518" t="s">
        <v>2159</v>
      </c>
      <c r="L1518" t="s">
        <v>2159</v>
      </c>
      <c r="O1518" t="s">
        <v>2159</v>
      </c>
      <c r="P1518" t="s">
        <v>2159</v>
      </c>
      <c r="Q1518" t="s">
        <v>52</v>
      </c>
      <c r="R1518" t="s">
        <v>52</v>
      </c>
      <c r="S1518" t="s">
        <v>2159</v>
      </c>
      <c r="T1518" t="s">
        <v>86</v>
      </c>
      <c r="U1518" t="s">
        <v>86</v>
      </c>
      <c r="V1518" t="s">
        <v>94</v>
      </c>
      <c r="W1518" t="s">
        <v>134</v>
      </c>
    </row>
    <row r="1519" spans="1:23" x14ac:dyDescent="0.3">
      <c r="A1519" t="s">
        <v>503</v>
      </c>
      <c r="B1519" t="s">
        <v>52</v>
      </c>
      <c r="C1519" t="s">
        <v>52</v>
      </c>
      <c r="D1519" t="s">
        <v>1772</v>
      </c>
      <c r="E1519" t="s">
        <v>2185</v>
      </c>
      <c r="F1519" t="s">
        <v>52</v>
      </c>
      <c r="G1519" t="s">
        <v>52</v>
      </c>
      <c r="H1519" t="s">
        <v>1197</v>
      </c>
      <c r="I1519" t="s">
        <v>1197</v>
      </c>
      <c r="J1519" t="s">
        <v>1197</v>
      </c>
      <c r="K1519" t="s">
        <v>2159</v>
      </c>
      <c r="L1519" t="s">
        <v>2159</v>
      </c>
      <c r="O1519" t="s">
        <v>2159</v>
      </c>
      <c r="P1519" t="s">
        <v>2159</v>
      </c>
      <c r="Q1519" t="s">
        <v>52</v>
      </c>
      <c r="R1519" t="s">
        <v>52</v>
      </c>
      <c r="S1519" t="s">
        <v>2159</v>
      </c>
      <c r="T1519" t="s">
        <v>86</v>
      </c>
      <c r="U1519" t="s">
        <v>86</v>
      </c>
      <c r="V1519" t="s">
        <v>107</v>
      </c>
      <c r="W1519" t="s">
        <v>71</v>
      </c>
    </row>
    <row r="1520" spans="1:23" x14ac:dyDescent="0.3">
      <c r="A1520" t="s">
        <v>523</v>
      </c>
      <c r="B1520" t="s">
        <v>251</v>
      </c>
      <c r="C1520" t="s">
        <v>52</v>
      </c>
      <c r="D1520" t="s">
        <v>1328</v>
      </c>
      <c r="E1520" t="s">
        <v>2186</v>
      </c>
      <c r="F1520" t="s">
        <v>52</v>
      </c>
      <c r="G1520" t="s">
        <v>52</v>
      </c>
      <c r="H1520" t="s">
        <v>1197</v>
      </c>
      <c r="I1520" t="s">
        <v>1197</v>
      </c>
      <c r="J1520" t="s">
        <v>1197</v>
      </c>
      <c r="K1520" t="s">
        <v>2159</v>
      </c>
      <c r="L1520" t="s">
        <v>2159</v>
      </c>
      <c r="O1520" t="s">
        <v>2159</v>
      </c>
      <c r="P1520" t="s">
        <v>2159</v>
      </c>
      <c r="Q1520" t="s">
        <v>52</v>
      </c>
      <c r="R1520" t="s">
        <v>52</v>
      </c>
      <c r="S1520" t="s">
        <v>2159</v>
      </c>
      <c r="T1520" t="s">
        <v>86</v>
      </c>
      <c r="U1520" t="s">
        <v>86</v>
      </c>
      <c r="V1520" t="s">
        <v>60</v>
      </c>
      <c r="W1520" t="s">
        <v>249</v>
      </c>
    </row>
    <row r="1521" spans="1:23" x14ac:dyDescent="0.3">
      <c r="A1521" t="s">
        <v>552</v>
      </c>
      <c r="B1521" t="s">
        <v>52</v>
      </c>
      <c r="C1521" t="s">
        <v>756</v>
      </c>
      <c r="D1521" t="s">
        <v>1613</v>
      </c>
      <c r="E1521" t="s">
        <v>2187</v>
      </c>
      <c r="F1521" t="s">
        <v>52</v>
      </c>
      <c r="G1521" t="s">
        <v>52</v>
      </c>
      <c r="H1521" t="s">
        <v>1197</v>
      </c>
      <c r="I1521" t="s">
        <v>297</v>
      </c>
      <c r="J1521" t="s">
        <v>2188</v>
      </c>
      <c r="K1521" t="s">
        <v>2159</v>
      </c>
      <c r="L1521" t="s">
        <v>2159</v>
      </c>
      <c r="O1521" t="s">
        <v>2159</v>
      </c>
      <c r="P1521" t="s">
        <v>2159</v>
      </c>
      <c r="Q1521" t="s">
        <v>52</v>
      </c>
      <c r="R1521" t="s">
        <v>52</v>
      </c>
      <c r="S1521" t="s">
        <v>2159</v>
      </c>
      <c r="T1521" t="s">
        <v>86</v>
      </c>
      <c r="U1521" t="s">
        <v>86</v>
      </c>
      <c r="V1521" t="s">
        <v>60</v>
      </c>
      <c r="W1521" t="s">
        <v>108</v>
      </c>
    </row>
    <row r="1522" spans="1:23" x14ac:dyDescent="0.3">
      <c r="A1522" t="s">
        <v>572</v>
      </c>
      <c r="B1522" t="s">
        <v>251</v>
      </c>
      <c r="C1522" t="s">
        <v>251</v>
      </c>
      <c r="D1522" t="s">
        <v>729</v>
      </c>
      <c r="E1522" t="s">
        <v>955</v>
      </c>
      <c r="F1522" t="s">
        <v>52</v>
      </c>
      <c r="G1522" t="s">
        <v>52</v>
      </c>
      <c r="H1522" t="s">
        <v>2189</v>
      </c>
      <c r="I1522" t="s">
        <v>2190</v>
      </c>
      <c r="J1522" t="s">
        <v>2191</v>
      </c>
      <c r="K1522" t="s">
        <v>2159</v>
      </c>
      <c r="L1522" t="s">
        <v>2159</v>
      </c>
      <c r="O1522" t="s">
        <v>2159</v>
      </c>
      <c r="P1522" t="s">
        <v>2159</v>
      </c>
      <c r="Q1522" t="s">
        <v>52</v>
      </c>
      <c r="R1522" t="s">
        <v>52</v>
      </c>
      <c r="S1522" t="s">
        <v>2159</v>
      </c>
      <c r="T1522" t="s">
        <v>86</v>
      </c>
      <c r="U1522" t="s">
        <v>86</v>
      </c>
      <c r="V1522" t="s">
        <v>133</v>
      </c>
      <c r="W1522" t="s">
        <v>94</v>
      </c>
    </row>
    <row r="1523" spans="1:23" x14ac:dyDescent="0.3">
      <c r="A1523" t="s">
        <v>591</v>
      </c>
      <c r="B1523" t="s">
        <v>52</v>
      </c>
      <c r="C1523" t="s">
        <v>445</v>
      </c>
      <c r="D1523" t="s">
        <v>1138</v>
      </c>
      <c r="E1523" t="s">
        <v>1735</v>
      </c>
      <c r="F1523" t="s">
        <v>52</v>
      </c>
      <c r="G1523" t="s">
        <v>52</v>
      </c>
      <c r="H1523" t="s">
        <v>1864</v>
      </c>
      <c r="I1523" t="s">
        <v>849</v>
      </c>
      <c r="J1523" t="s">
        <v>648</v>
      </c>
      <c r="K1523" t="s">
        <v>2159</v>
      </c>
      <c r="L1523" t="s">
        <v>2159</v>
      </c>
      <c r="O1523" t="s">
        <v>2159</v>
      </c>
      <c r="P1523" t="s">
        <v>2159</v>
      </c>
      <c r="Q1523" t="s">
        <v>52</v>
      </c>
      <c r="R1523" t="s">
        <v>52</v>
      </c>
      <c r="S1523" t="s">
        <v>2159</v>
      </c>
      <c r="T1523" t="s">
        <v>86</v>
      </c>
      <c r="U1523" t="s">
        <v>86</v>
      </c>
      <c r="V1523" t="s">
        <v>60</v>
      </c>
      <c r="W1523" t="s">
        <v>134</v>
      </c>
    </row>
    <row r="1524" spans="1:23" x14ac:dyDescent="0.3">
      <c r="A1524" t="s">
        <v>614</v>
      </c>
      <c r="B1524" t="s">
        <v>251</v>
      </c>
      <c r="C1524" t="s">
        <v>756</v>
      </c>
      <c r="D1524" t="s">
        <v>419</v>
      </c>
      <c r="E1524" t="s">
        <v>134</v>
      </c>
      <c r="F1524" t="s">
        <v>52</v>
      </c>
      <c r="G1524" t="s">
        <v>52</v>
      </c>
      <c r="H1524" t="s">
        <v>2190</v>
      </c>
      <c r="I1524" t="s">
        <v>587</v>
      </c>
      <c r="J1524" t="s">
        <v>701</v>
      </c>
      <c r="K1524" t="s">
        <v>2159</v>
      </c>
      <c r="L1524" t="s">
        <v>2159</v>
      </c>
      <c r="O1524" t="s">
        <v>2159</v>
      </c>
      <c r="P1524" t="s">
        <v>2159</v>
      </c>
      <c r="Q1524" t="s">
        <v>52</v>
      </c>
      <c r="R1524" t="s">
        <v>52</v>
      </c>
      <c r="S1524" t="s">
        <v>2159</v>
      </c>
      <c r="T1524" t="s">
        <v>86</v>
      </c>
      <c r="U1524" t="s">
        <v>86</v>
      </c>
      <c r="V1524" t="s">
        <v>94</v>
      </c>
      <c r="W1524" t="s">
        <v>134</v>
      </c>
    </row>
    <row r="1525" spans="1:23" x14ac:dyDescent="0.3">
      <c r="A1525" t="s">
        <v>642</v>
      </c>
      <c r="B1525" t="s">
        <v>52</v>
      </c>
      <c r="C1525" t="s">
        <v>52</v>
      </c>
      <c r="D1525" t="s">
        <v>347</v>
      </c>
      <c r="E1525" t="s">
        <v>2192</v>
      </c>
      <c r="F1525" t="s">
        <v>52</v>
      </c>
      <c r="G1525" t="s">
        <v>52</v>
      </c>
      <c r="H1525" t="s">
        <v>539</v>
      </c>
      <c r="I1525" t="s">
        <v>970</v>
      </c>
      <c r="J1525" t="s">
        <v>1864</v>
      </c>
      <c r="K1525" t="s">
        <v>2159</v>
      </c>
      <c r="L1525" t="s">
        <v>2159</v>
      </c>
      <c r="O1525" t="s">
        <v>1020</v>
      </c>
      <c r="P1525" t="s">
        <v>2159</v>
      </c>
      <c r="Q1525" t="s">
        <v>488</v>
      </c>
      <c r="R1525" t="s">
        <v>52</v>
      </c>
      <c r="S1525" t="s">
        <v>2159</v>
      </c>
      <c r="T1525" t="s">
        <v>86</v>
      </c>
      <c r="U1525" t="s">
        <v>86</v>
      </c>
      <c r="V1525" t="s">
        <v>228</v>
      </c>
      <c r="W1525" t="s">
        <v>158</v>
      </c>
    </row>
    <row r="1526" spans="1:23" x14ac:dyDescent="0.3">
      <c r="A1526" t="s">
        <v>666</v>
      </c>
      <c r="B1526" t="s">
        <v>52</v>
      </c>
      <c r="C1526" t="s">
        <v>443</v>
      </c>
      <c r="D1526" t="s">
        <v>1037</v>
      </c>
      <c r="E1526" t="s">
        <v>2193</v>
      </c>
      <c r="F1526" t="s">
        <v>52</v>
      </c>
      <c r="G1526" t="s">
        <v>52</v>
      </c>
      <c r="H1526" t="s">
        <v>1228</v>
      </c>
      <c r="I1526" t="s">
        <v>1086</v>
      </c>
      <c r="J1526" t="s">
        <v>2194</v>
      </c>
      <c r="K1526" t="s">
        <v>2159</v>
      </c>
      <c r="L1526" t="s">
        <v>2159</v>
      </c>
      <c r="O1526" t="s">
        <v>2159</v>
      </c>
      <c r="P1526" t="s">
        <v>2159</v>
      </c>
      <c r="Q1526" t="s">
        <v>52</v>
      </c>
      <c r="R1526" t="s">
        <v>52</v>
      </c>
      <c r="S1526" t="s">
        <v>2159</v>
      </c>
      <c r="T1526" t="s">
        <v>86</v>
      </c>
      <c r="U1526" t="s">
        <v>86</v>
      </c>
      <c r="V1526" t="s">
        <v>147</v>
      </c>
      <c r="W1526" t="s">
        <v>60</v>
      </c>
    </row>
    <row r="1527" spans="1:23" x14ac:dyDescent="0.3">
      <c r="A1527" t="s">
        <v>686</v>
      </c>
      <c r="B1527" t="s">
        <v>251</v>
      </c>
      <c r="D1527" t="s">
        <v>2159</v>
      </c>
      <c r="F1527" t="s">
        <v>52</v>
      </c>
      <c r="K1527" t="s">
        <v>2159</v>
      </c>
      <c r="O1527" t="s">
        <v>2159</v>
      </c>
      <c r="Q1527" t="s">
        <v>52</v>
      </c>
      <c r="S1527" t="s">
        <v>2159</v>
      </c>
      <c r="T1527" t="s">
        <v>86</v>
      </c>
      <c r="U1527" t="s">
        <v>86</v>
      </c>
    </row>
    <row r="1528" spans="1:23" x14ac:dyDescent="0.3">
      <c r="A1528" t="s">
        <v>703</v>
      </c>
      <c r="B1528" t="s">
        <v>52</v>
      </c>
      <c r="D1528" t="s">
        <v>955</v>
      </c>
      <c r="F1528" t="s">
        <v>52</v>
      </c>
      <c r="K1528" t="s">
        <v>2159</v>
      </c>
      <c r="O1528" t="s">
        <v>370</v>
      </c>
      <c r="Q1528" t="s">
        <v>52</v>
      </c>
      <c r="S1528" t="s">
        <v>2159</v>
      </c>
      <c r="T1528" t="s">
        <v>86</v>
      </c>
      <c r="U1528" t="s">
        <v>86</v>
      </c>
    </row>
    <row r="1529" spans="1:23" x14ac:dyDescent="0.3">
      <c r="A1529" t="s">
        <v>726</v>
      </c>
      <c r="B1529" t="s">
        <v>52</v>
      </c>
      <c r="D1529" t="s">
        <v>2159</v>
      </c>
      <c r="F1529" t="s">
        <v>52</v>
      </c>
      <c r="K1529" t="s">
        <v>2159</v>
      </c>
      <c r="O1529" t="s">
        <v>2159</v>
      </c>
      <c r="Q1529" t="s">
        <v>52</v>
      </c>
      <c r="S1529" t="s">
        <v>2159</v>
      </c>
      <c r="T1529" t="s">
        <v>86</v>
      </c>
      <c r="U1529" t="s">
        <v>86</v>
      </c>
    </row>
    <row r="1530" spans="1:23" x14ac:dyDescent="0.3">
      <c r="A1530" t="s">
        <v>747</v>
      </c>
      <c r="B1530" t="s">
        <v>52</v>
      </c>
      <c r="C1530" t="s">
        <v>2165</v>
      </c>
      <c r="D1530" t="s">
        <v>2159</v>
      </c>
      <c r="E1530" t="s">
        <v>2165</v>
      </c>
      <c r="F1530" t="s">
        <v>52</v>
      </c>
      <c r="G1530" t="s">
        <v>2165</v>
      </c>
      <c r="H1530" t="s">
        <v>2165</v>
      </c>
      <c r="I1530" t="s">
        <v>2165</v>
      </c>
      <c r="J1530" t="s">
        <v>2165</v>
      </c>
      <c r="K1530" t="s">
        <v>2159</v>
      </c>
      <c r="L1530" t="s">
        <v>2165</v>
      </c>
      <c r="O1530" t="s">
        <v>2159</v>
      </c>
      <c r="P1530" t="s">
        <v>2165</v>
      </c>
      <c r="Q1530" t="s">
        <v>52</v>
      </c>
      <c r="R1530" t="s">
        <v>2165</v>
      </c>
      <c r="S1530" t="s">
        <v>2159</v>
      </c>
      <c r="T1530" t="s">
        <v>86</v>
      </c>
      <c r="U1530" t="s">
        <v>86</v>
      </c>
      <c r="V1530" t="s">
        <v>2165</v>
      </c>
      <c r="W1530" t="s">
        <v>2165</v>
      </c>
    </row>
    <row r="1531" spans="1:23" x14ac:dyDescent="0.3">
      <c r="A1531" t="s">
        <v>772</v>
      </c>
      <c r="B1531" t="s">
        <v>52</v>
      </c>
      <c r="D1531" t="s">
        <v>2159</v>
      </c>
      <c r="F1531" t="s">
        <v>52</v>
      </c>
      <c r="K1531" t="s">
        <v>2159</v>
      </c>
      <c r="O1531" t="s">
        <v>1020</v>
      </c>
      <c r="Q1531" t="s">
        <v>488</v>
      </c>
      <c r="S1531" t="s">
        <v>2159</v>
      </c>
      <c r="T1531" t="s">
        <v>86</v>
      </c>
      <c r="U1531" t="s">
        <v>86</v>
      </c>
    </row>
    <row r="1532" spans="1:23" x14ac:dyDescent="0.3">
      <c r="A1532" t="s">
        <v>791</v>
      </c>
      <c r="B1532" t="s">
        <v>52</v>
      </c>
      <c r="D1532" t="s">
        <v>2159</v>
      </c>
      <c r="F1532" t="s">
        <v>52</v>
      </c>
      <c r="K1532" t="s">
        <v>2159</v>
      </c>
      <c r="O1532" t="s">
        <v>2159</v>
      </c>
      <c r="Q1532" t="s">
        <v>52</v>
      </c>
      <c r="S1532" t="s">
        <v>2159</v>
      </c>
      <c r="T1532" t="s">
        <v>86</v>
      </c>
      <c r="U1532" t="s">
        <v>86</v>
      </c>
    </row>
    <row r="1533" spans="1:23" x14ac:dyDescent="0.3">
      <c r="A1533" t="s">
        <v>812</v>
      </c>
      <c r="B1533" t="s">
        <v>52</v>
      </c>
      <c r="D1533" t="s">
        <v>2159</v>
      </c>
      <c r="F1533" t="s">
        <v>52</v>
      </c>
      <c r="K1533" t="s">
        <v>2159</v>
      </c>
      <c r="O1533" t="s">
        <v>2159</v>
      </c>
      <c r="Q1533" t="s">
        <v>52</v>
      </c>
      <c r="S1533" t="s">
        <v>2159</v>
      </c>
      <c r="T1533" t="s">
        <v>86</v>
      </c>
      <c r="U1533" t="s">
        <v>86</v>
      </c>
    </row>
    <row r="1534" spans="1:23" x14ac:dyDescent="0.3">
      <c r="A1534" t="s">
        <v>835</v>
      </c>
      <c r="B1534" t="s">
        <v>52</v>
      </c>
      <c r="D1534" t="s">
        <v>2159</v>
      </c>
      <c r="F1534" t="s">
        <v>52</v>
      </c>
      <c r="K1534" t="s">
        <v>2159</v>
      </c>
      <c r="O1534" t="s">
        <v>2159</v>
      </c>
      <c r="Q1534" t="s">
        <v>52</v>
      </c>
      <c r="S1534" t="s">
        <v>2159</v>
      </c>
      <c r="T1534" t="s">
        <v>86</v>
      </c>
      <c r="U1534" t="s">
        <v>86</v>
      </c>
    </row>
    <row r="1535" spans="1:23" x14ac:dyDescent="0.3">
      <c r="A1535" t="s">
        <v>852</v>
      </c>
      <c r="B1535" t="s">
        <v>52</v>
      </c>
      <c r="D1535" t="s">
        <v>2159</v>
      </c>
      <c r="F1535" t="s">
        <v>52</v>
      </c>
      <c r="K1535" t="s">
        <v>2159</v>
      </c>
      <c r="O1535" t="s">
        <v>2159</v>
      </c>
      <c r="Q1535" t="s">
        <v>52</v>
      </c>
      <c r="S1535" t="s">
        <v>2159</v>
      </c>
      <c r="T1535" t="s">
        <v>86</v>
      </c>
      <c r="U1535" t="s">
        <v>86</v>
      </c>
    </row>
    <row r="1536" spans="1:23" x14ac:dyDescent="0.3">
      <c r="A1536" t="s">
        <v>864</v>
      </c>
      <c r="B1536" t="s">
        <v>52</v>
      </c>
      <c r="D1536" t="s">
        <v>2159</v>
      </c>
      <c r="F1536" t="s">
        <v>52</v>
      </c>
      <c r="K1536" t="s">
        <v>2159</v>
      </c>
      <c r="O1536" t="s">
        <v>2159</v>
      </c>
      <c r="Q1536" t="s">
        <v>52</v>
      </c>
      <c r="S1536" t="s">
        <v>2159</v>
      </c>
      <c r="T1536" t="s">
        <v>86</v>
      </c>
      <c r="U1536" t="s">
        <v>86</v>
      </c>
    </row>
    <row r="1537" spans="1:21" x14ac:dyDescent="0.3">
      <c r="A1537" t="s">
        <v>883</v>
      </c>
      <c r="B1537" t="s">
        <v>52</v>
      </c>
      <c r="D1537" t="s">
        <v>2159</v>
      </c>
      <c r="F1537" t="s">
        <v>52</v>
      </c>
      <c r="K1537" t="s">
        <v>2159</v>
      </c>
      <c r="O1537" t="s">
        <v>2159</v>
      </c>
      <c r="Q1537" t="s">
        <v>52</v>
      </c>
      <c r="S1537" t="s">
        <v>2159</v>
      </c>
      <c r="T1537" t="s">
        <v>86</v>
      </c>
      <c r="U1537" t="s">
        <v>86</v>
      </c>
    </row>
    <row r="1538" spans="1:21" x14ac:dyDescent="0.3">
      <c r="A1538" t="s">
        <v>902</v>
      </c>
      <c r="B1538" t="s">
        <v>251</v>
      </c>
      <c r="D1538" t="s">
        <v>2159</v>
      </c>
      <c r="F1538" t="s">
        <v>52</v>
      </c>
      <c r="K1538" t="s">
        <v>2159</v>
      </c>
      <c r="O1538" t="s">
        <v>2159</v>
      </c>
      <c r="Q1538" t="s">
        <v>52</v>
      </c>
      <c r="S1538" t="s">
        <v>2159</v>
      </c>
      <c r="T1538" t="s">
        <v>86</v>
      </c>
      <c r="U1538" t="s">
        <v>86</v>
      </c>
    </row>
    <row r="1539" spans="1:21" x14ac:dyDescent="0.3">
      <c r="A1539" t="s">
        <v>921</v>
      </c>
      <c r="B1539" t="s">
        <v>52</v>
      </c>
      <c r="D1539" t="s">
        <v>2159</v>
      </c>
      <c r="F1539" t="s">
        <v>52</v>
      </c>
      <c r="K1539" t="s">
        <v>2159</v>
      </c>
      <c r="O1539" t="s">
        <v>2159</v>
      </c>
      <c r="Q1539" t="s">
        <v>52</v>
      </c>
      <c r="S1539" t="s">
        <v>2159</v>
      </c>
      <c r="T1539" t="s">
        <v>86</v>
      </c>
      <c r="U1539" t="s">
        <v>86</v>
      </c>
    </row>
    <row r="1540" spans="1:21" x14ac:dyDescent="0.3">
      <c r="A1540" t="s">
        <v>941</v>
      </c>
      <c r="B1540" t="s">
        <v>251</v>
      </c>
      <c r="D1540" t="s">
        <v>2159</v>
      </c>
      <c r="F1540" t="s">
        <v>52</v>
      </c>
      <c r="K1540" t="s">
        <v>2159</v>
      </c>
      <c r="O1540" t="s">
        <v>2159</v>
      </c>
      <c r="Q1540" t="s">
        <v>52</v>
      </c>
      <c r="S1540" t="s">
        <v>2159</v>
      </c>
      <c r="T1540" t="s">
        <v>86</v>
      </c>
      <c r="U1540" t="s">
        <v>86</v>
      </c>
    </row>
    <row r="1541" spans="1:21" x14ac:dyDescent="0.3">
      <c r="A1541" t="s">
        <v>958</v>
      </c>
      <c r="B1541" t="s">
        <v>52</v>
      </c>
      <c r="D1541" t="s">
        <v>2159</v>
      </c>
      <c r="F1541" t="s">
        <v>52</v>
      </c>
      <c r="K1541" t="s">
        <v>2159</v>
      </c>
      <c r="O1541" t="s">
        <v>2159</v>
      </c>
      <c r="Q1541" t="s">
        <v>52</v>
      </c>
      <c r="S1541" t="s">
        <v>2159</v>
      </c>
      <c r="T1541" t="s">
        <v>86</v>
      </c>
      <c r="U1541" t="s">
        <v>86</v>
      </c>
    </row>
    <row r="1542" spans="1:21" x14ac:dyDescent="0.3">
      <c r="A1542" t="s">
        <v>972</v>
      </c>
      <c r="B1542" t="s">
        <v>52</v>
      </c>
      <c r="D1542" t="s">
        <v>2159</v>
      </c>
      <c r="F1542" t="s">
        <v>52</v>
      </c>
      <c r="K1542" t="s">
        <v>2159</v>
      </c>
      <c r="O1542" t="s">
        <v>2159</v>
      </c>
      <c r="Q1542" t="s">
        <v>52</v>
      </c>
      <c r="S1542" t="s">
        <v>2159</v>
      </c>
      <c r="T1542" t="s">
        <v>86</v>
      </c>
      <c r="U1542" t="s">
        <v>86</v>
      </c>
    </row>
    <row r="1543" spans="1:21" x14ac:dyDescent="0.3">
      <c r="A1543" t="s">
        <v>987</v>
      </c>
      <c r="B1543" t="s">
        <v>52</v>
      </c>
      <c r="D1543" t="s">
        <v>2159</v>
      </c>
      <c r="F1543" t="s">
        <v>52</v>
      </c>
      <c r="K1543" t="s">
        <v>2159</v>
      </c>
      <c r="O1543" t="s">
        <v>2159</v>
      </c>
      <c r="Q1543" t="s">
        <v>52</v>
      </c>
      <c r="S1543" t="s">
        <v>2159</v>
      </c>
      <c r="T1543" t="s">
        <v>86</v>
      </c>
      <c r="U1543" t="s">
        <v>86</v>
      </c>
    </row>
    <row r="1544" spans="1:21" x14ac:dyDescent="0.3">
      <c r="A1544" t="s">
        <v>1001</v>
      </c>
      <c r="B1544" t="s">
        <v>2159</v>
      </c>
      <c r="D1544" t="s">
        <v>2159</v>
      </c>
      <c r="F1544" t="s">
        <v>488</v>
      </c>
      <c r="K1544" t="s">
        <v>52</v>
      </c>
      <c r="O1544" t="s">
        <v>52</v>
      </c>
      <c r="Q1544" t="s">
        <v>488</v>
      </c>
      <c r="S1544" t="s">
        <v>52</v>
      </c>
      <c r="T1544" t="s">
        <v>52</v>
      </c>
      <c r="U1544" t="s">
        <v>52</v>
      </c>
    </row>
    <row r="1545" spans="1:21" x14ac:dyDescent="0.3">
      <c r="A1545" t="s">
        <v>1028</v>
      </c>
      <c r="B1545" t="s">
        <v>52</v>
      </c>
      <c r="D1545" t="s">
        <v>2159</v>
      </c>
      <c r="F1545" t="s">
        <v>52</v>
      </c>
      <c r="K1545" t="s">
        <v>2159</v>
      </c>
      <c r="O1545" t="s">
        <v>2159</v>
      </c>
      <c r="Q1545" t="s">
        <v>52</v>
      </c>
      <c r="S1545" t="s">
        <v>2159</v>
      </c>
      <c r="T1545" t="s">
        <v>86</v>
      </c>
      <c r="U1545" t="s">
        <v>86</v>
      </c>
    </row>
    <row r="1546" spans="1:21" x14ac:dyDescent="0.3">
      <c r="A1546" t="s">
        <v>1046</v>
      </c>
      <c r="B1546" t="s">
        <v>251</v>
      </c>
      <c r="D1546" t="s">
        <v>2159</v>
      </c>
      <c r="F1546" t="s">
        <v>52</v>
      </c>
      <c r="K1546" t="s">
        <v>2159</v>
      </c>
      <c r="O1546" t="s">
        <v>2159</v>
      </c>
      <c r="Q1546" t="s">
        <v>52</v>
      </c>
      <c r="S1546" t="s">
        <v>2159</v>
      </c>
      <c r="T1546" t="s">
        <v>86</v>
      </c>
      <c r="U1546" t="s">
        <v>86</v>
      </c>
    </row>
    <row r="1547" spans="1:21" x14ac:dyDescent="0.3">
      <c r="A1547" t="s">
        <v>1064</v>
      </c>
      <c r="B1547" t="s">
        <v>52</v>
      </c>
      <c r="D1547" t="s">
        <v>2159</v>
      </c>
      <c r="F1547" t="s">
        <v>52</v>
      </c>
      <c r="K1547" t="s">
        <v>2159</v>
      </c>
      <c r="O1547" t="s">
        <v>2159</v>
      </c>
      <c r="Q1547" t="s">
        <v>52</v>
      </c>
      <c r="S1547" t="s">
        <v>2159</v>
      </c>
      <c r="T1547" t="s">
        <v>86</v>
      </c>
      <c r="U1547" t="s">
        <v>86</v>
      </c>
    </row>
    <row r="1548" spans="1:21" x14ac:dyDescent="0.3">
      <c r="A1548" t="s">
        <v>1079</v>
      </c>
      <c r="B1548" t="s">
        <v>52</v>
      </c>
      <c r="D1548" t="s">
        <v>2159</v>
      </c>
      <c r="F1548" t="s">
        <v>52</v>
      </c>
      <c r="K1548" t="s">
        <v>2159</v>
      </c>
      <c r="O1548" t="s">
        <v>2159</v>
      </c>
      <c r="Q1548" t="s">
        <v>52</v>
      </c>
      <c r="S1548" t="s">
        <v>2159</v>
      </c>
      <c r="T1548" t="s">
        <v>86</v>
      </c>
      <c r="U1548" t="s">
        <v>86</v>
      </c>
    </row>
    <row r="1549" spans="1:21" x14ac:dyDescent="0.3">
      <c r="A1549" t="s">
        <v>1095</v>
      </c>
      <c r="B1549" t="s">
        <v>52</v>
      </c>
      <c r="D1549" t="s">
        <v>2159</v>
      </c>
      <c r="F1549" t="s">
        <v>52</v>
      </c>
      <c r="K1549" t="s">
        <v>2159</v>
      </c>
      <c r="O1549" t="s">
        <v>2159</v>
      </c>
      <c r="Q1549" t="s">
        <v>52</v>
      </c>
      <c r="S1549" t="s">
        <v>2159</v>
      </c>
      <c r="T1549" t="s">
        <v>86</v>
      </c>
      <c r="U1549" t="s">
        <v>86</v>
      </c>
    </row>
    <row r="1550" spans="1:21" x14ac:dyDescent="0.3">
      <c r="A1550" t="s">
        <v>1110</v>
      </c>
      <c r="B1550" t="s">
        <v>52</v>
      </c>
      <c r="D1550" t="s">
        <v>2159</v>
      </c>
      <c r="F1550" t="s">
        <v>52</v>
      </c>
      <c r="K1550" t="s">
        <v>2159</v>
      </c>
      <c r="O1550" t="s">
        <v>2159</v>
      </c>
      <c r="Q1550" t="s">
        <v>52</v>
      </c>
      <c r="S1550" t="s">
        <v>2159</v>
      </c>
      <c r="T1550" t="s">
        <v>86</v>
      </c>
      <c r="U1550" t="s">
        <v>86</v>
      </c>
    </row>
    <row r="1551" spans="1:21" x14ac:dyDescent="0.3">
      <c r="A1551" t="s">
        <v>1127</v>
      </c>
      <c r="B1551" t="s">
        <v>52</v>
      </c>
      <c r="D1551" t="s">
        <v>2159</v>
      </c>
      <c r="F1551" t="s">
        <v>52</v>
      </c>
      <c r="K1551" t="s">
        <v>2159</v>
      </c>
      <c r="O1551" t="s">
        <v>2159</v>
      </c>
      <c r="Q1551" t="s">
        <v>52</v>
      </c>
      <c r="S1551" t="s">
        <v>2159</v>
      </c>
      <c r="T1551" t="s">
        <v>86</v>
      </c>
      <c r="U1551" t="s">
        <v>86</v>
      </c>
    </row>
    <row r="1552" spans="1:21" x14ac:dyDescent="0.3">
      <c r="A1552" t="s">
        <v>1144</v>
      </c>
      <c r="B1552" t="s">
        <v>52</v>
      </c>
      <c r="D1552" t="s">
        <v>2159</v>
      </c>
      <c r="F1552" t="s">
        <v>52</v>
      </c>
      <c r="K1552" t="s">
        <v>2159</v>
      </c>
      <c r="O1552" t="s">
        <v>2159</v>
      </c>
      <c r="Q1552" t="s">
        <v>52</v>
      </c>
      <c r="S1552" t="s">
        <v>2159</v>
      </c>
      <c r="T1552" t="s">
        <v>86</v>
      </c>
      <c r="U1552" t="s">
        <v>86</v>
      </c>
    </row>
    <row r="1553" spans="1:23" x14ac:dyDescent="0.3">
      <c r="A1553" t="s">
        <v>1166</v>
      </c>
      <c r="B1553" t="s">
        <v>52</v>
      </c>
      <c r="D1553" t="s">
        <v>2159</v>
      </c>
      <c r="F1553" t="s">
        <v>52</v>
      </c>
      <c r="K1553" t="s">
        <v>2159</v>
      </c>
      <c r="O1553" t="s">
        <v>2159</v>
      </c>
      <c r="Q1553" t="s">
        <v>52</v>
      </c>
      <c r="S1553" t="s">
        <v>2159</v>
      </c>
      <c r="T1553" t="s">
        <v>86</v>
      </c>
      <c r="U1553" t="s">
        <v>86</v>
      </c>
    </row>
    <row r="1554" spans="1:23" s="4" customFormat="1" x14ac:dyDescent="0.3">
      <c r="A1554" s="4" t="s">
        <v>1203</v>
      </c>
      <c r="B1554" s="4" t="s">
        <v>2042</v>
      </c>
      <c r="D1554" s="4" t="s">
        <v>1274</v>
      </c>
      <c r="F1554" s="4" t="s">
        <v>488</v>
      </c>
      <c r="K1554" s="4" t="s">
        <v>2425</v>
      </c>
      <c r="O1554" s="4" t="s">
        <v>370</v>
      </c>
      <c r="Q1554" s="4" t="s">
        <v>488</v>
      </c>
      <c r="S1554" s="4" t="s">
        <v>2425</v>
      </c>
      <c r="T1554" s="4" t="s">
        <v>488</v>
      </c>
      <c r="U1554" s="4" t="s">
        <v>52</v>
      </c>
    </row>
    <row r="1555" spans="1:23" s="4" customFormat="1" x14ac:dyDescent="0.3">
      <c r="A1555" s="4" t="s">
        <v>2300</v>
      </c>
      <c r="B1555" s="4" t="s">
        <v>52</v>
      </c>
      <c r="D1555" s="4" t="s">
        <v>443</v>
      </c>
      <c r="F1555" s="4" t="s">
        <v>52</v>
      </c>
      <c r="K1555" s="4" t="s">
        <v>2159</v>
      </c>
      <c r="O1555" s="4" t="s">
        <v>2159</v>
      </c>
      <c r="Q1555" s="4" t="s">
        <v>52</v>
      </c>
      <c r="S1555" s="4" t="s">
        <v>2159</v>
      </c>
      <c r="T1555" s="4" t="s">
        <v>86</v>
      </c>
      <c r="U1555" s="4" t="s">
        <v>86</v>
      </c>
    </row>
    <row r="1556" spans="1:23" s="4" customFormat="1" x14ac:dyDescent="0.3">
      <c r="A1556" s="4" t="s">
        <v>2303</v>
      </c>
      <c r="B1556" s="4" t="s">
        <v>52</v>
      </c>
      <c r="C1556" s="4" t="s">
        <v>71</v>
      </c>
      <c r="D1556" s="4" t="s">
        <v>2386</v>
      </c>
      <c r="E1556" s="4" t="s">
        <v>1772</v>
      </c>
      <c r="F1556" s="4" t="s">
        <v>52</v>
      </c>
      <c r="G1556" s="4" t="s">
        <v>52</v>
      </c>
      <c r="H1556" s="4" t="s">
        <v>1627</v>
      </c>
      <c r="I1556" s="4" t="s">
        <v>110</v>
      </c>
      <c r="J1556" s="4" t="s">
        <v>554</v>
      </c>
      <c r="K1556" s="4" t="s">
        <v>2159</v>
      </c>
      <c r="L1556" s="4" t="s">
        <v>2159</v>
      </c>
      <c r="O1556" s="4" t="s">
        <v>2159</v>
      </c>
      <c r="P1556" s="4" t="s">
        <v>2159</v>
      </c>
      <c r="Q1556" s="4" t="s">
        <v>52</v>
      </c>
      <c r="R1556" s="4" t="s">
        <v>52</v>
      </c>
      <c r="S1556" s="4" t="s">
        <v>2159</v>
      </c>
      <c r="T1556" s="4" t="s">
        <v>86</v>
      </c>
      <c r="U1556" s="4" t="s">
        <v>86</v>
      </c>
      <c r="V1556" s="4" t="s">
        <v>158</v>
      </c>
      <c r="W1556" s="4" t="s">
        <v>228</v>
      </c>
    </row>
    <row r="1557" spans="1:23" s="4" customFormat="1" x14ac:dyDescent="0.3">
      <c r="A1557" s="4" t="s">
        <v>2306</v>
      </c>
      <c r="B1557" s="4" t="s">
        <v>52</v>
      </c>
      <c r="C1557" s="4" t="s">
        <v>1259</v>
      </c>
      <c r="D1557" s="4" t="s">
        <v>1121</v>
      </c>
      <c r="E1557" s="4" t="s">
        <v>1921</v>
      </c>
      <c r="F1557" s="4" t="s">
        <v>52</v>
      </c>
      <c r="G1557" s="4" t="s">
        <v>52</v>
      </c>
      <c r="H1557" s="4" t="s">
        <v>1197</v>
      </c>
      <c r="I1557" s="4" t="s">
        <v>439</v>
      </c>
      <c r="J1557" s="4" t="s">
        <v>201</v>
      </c>
      <c r="K1557" s="4" t="s">
        <v>2159</v>
      </c>
      <c r="L1557" s="4" t="s">
        <v>2159</v>
      </c>
      <c r="O1557" s="4" t="s">
        <v>2159</v>
      </c>
      <c r="P1557" s="4" t="s">
        <v>2159</v>
      </c>
      <c r="Q1557" s="4" t="s">
        <v>52</v>
      </c>
      <c r="R1557" s="4" t="s">
        <v>52</v>
      </c>
      <c r="S1557" s="4" t="s">
        <v>2159</v>
      </c>
      <c r="T1557" s="4" t="s">
        <v>86</v>
      </c>
      <c r="U1557" s="4" t="s">
        <v>86</v>
      </c>
      <c r="V1557" s="4" t="s">
        <v>274</v>
      </c>
      <c r="W1557" s="4" t="s">
        <v>60</v>
      </c>
    </row>
    <row r="1558" spans="1:23" s="4" customFormat="1" x14ac:dyDescent="0.3">
      <c r="A1558" s="4" t="s">
        <v>2262</v>
      </c>
      <c r="B1558" s="4" t="s">
        <v>52</v>
      </c>
      <c r="C1558" s="4" t="s">
        <v>224</v>
      </c>
      <c r="D1558" s="4" t="s">
        <v>2426</v>
      </c>
      <c r="E1558" s="4" t="s">
        <v>478</v>
      </c>
      <c r="F1558" s="4" t="s">
        <v>52</v>
      </c>
      <c r="G1558" s="4" t="s">
        <v>52</v>
      </c>
      <c r="H1558" s="4" t="s">
        <v>1197</v>
      </c>
      <c r="I1558" s="4" t="s">
        <v>1197</v>
      </c>
      <c r="J1558" s="4" t="s">
        <v>1197</v>
      </c>
      <c r="K1558" s="4" t="s">
        <v>2159</v>
      </c>
      <c r="L1558" s="4" t="s">
        <v>2159</v>
      </c>
      <c r="O1558" s="4" t="s">
        <v>2159</v>
      </c>
      <c r="P1558" s="4" t="s">
        <v>2159</v>
      </c>
      <c r="Q1558" s="4" t="s">
        <v>52</v>
      </c>
      <c r="R1558" s="4" t="s">
        <v>52</v>
      </c>
      <c r="S1558" s="4" t="s">
        <v>2427</v>
      </c>
      <c r="T1558" s="4" t="s">
        <v>86</v>
      </c>
      <c r="U1558" s="4" t="s">
        <v>86</v>
      </c>
      <c r="V1558" s="4" t="s">
        <v>274</v>
      </c>
      <c r="W1558" s="4" t="s">
        <v>158</v>
      </c>
    </row>
    <row r="1559" spans="1:23" s="4" customFormat="1" x14ac:dyDescent="0.3">
      <c r="A1559" s="4" t="s">
        <v>2277</v>
      </c>
      <c r="B1559" s="4" t="s">
        <v>52</v>
      </c>
      <c r="C1559" s="4" t="s">
        <v>138</v>
      </c>
      <c r="D1559" s="4" t="s">
        <v>1162</v>
      </c>
      <c r="E1559" s="4" t="s">
        <v>2428</v>
      </c>
      <c r="F1559" s="4" t="s">
        <v>52</v>
      </c>
      <c r="G1559" s="4" t="s">
        <v>488</v>
      </c>
      <c r="H1559" s="4" t="s">
        <v>1992</v>
      </c>
      <c r="I1559" s="4" t="s">
        <v>2429</v>
      </c>
      <c r="J1559" s="4" t="s">
        <v>318</v>
      </c>
      <c r="K1559" s="4" t="s">
        <v>2159</v>
      </c>
      <c r="L1559" s="4" t="s">
        <v>2425</v>
      </c>
      <c r="O1559" s="4" t="s">
        <v>2159</v>
      </c>
      <c r="P1559" s="4" t="s">
        <v>370</v>
      </c>
      <c r="Q1559" s="4" t="s">
        <v>52</v>
      </c>
      <c r="R1559" s="4" t="s">
        <v>488</v>
      </c>
      <c r="S1559" s="4" t="s">
        <v>2159</v>
      </c>
      <c r="T1559" s="4" t="s">
        <v>86</v>
      </c>
      <c r="U1559" s="4" t="s">
        <v>86</v>
      </c>
      <c r="V1559" s="4" t="s">
        <v>94</v>
      </c>
      <c r="W1559" s="4" t="s">
        <v>158</v>
      </c>
    </row>
    <row r="1560" spans="1:23" s="4" customFormat="1" x14ac:dyDescent="0.3"/>
    <row r="1561" spans="1:23" s="4" customFormat="1" x14ac:dyDescent="0.3"/>
    <row r="1562" spans="1:23" s="4" customFormat="1" x14ac:dyDescent="0.3"/>
    <row r="1563" spans="1:23" s="4" customFormat="1" x14ac:dyDescent="0.3"/>
    <row r="1564" spans="1:23" s="4" customFormat="1" x14ac:dyDescent="0.3"/>
    <row r="1566" spans="1:23" x14ac:dyDescent="0.3">
      <c r="A1566" s="23" t="s">
        <v>2195</v>
      </c>
      <c r="B1566" s="24"/>
      <c r="C1566" s="24"/>
      <c r="D1566" s="24"/>
      <c r="E1566" s="24"/>
    </row>
    <row r="1567" spans="1:23" x14ac:dyDescent="0.3">
      <c r="B1567" t="s">
        <v>2139</v>
      </c>
      <c r="C1567" t="s">
        <v>2141</v>
      </c>
      <c r="D1567" t="s">
        <v>2143</v>
      </c>
      <c r="E1567" t="s">
        <v>10</v>
      </c>
      <c r="F1567" t="s">
        <v>10</v>
      </c>
      <c r="G1567" t="s">
        <v>10</v>
      </c>
      <c r="H1567" t="s">
        <v>2145</v>
      </c>
      <c r="I1567" t="s">
        <v>2147</v>
      </c>
      <c r="J1567" t="s">
        <v>2149</v>
      </c>
      <c r="K1567" t="s">
        <v>2151</v>
      </c>
      <c r="L1567" t="s">
        <v>2152</v>
      </c>
      <c r="O1567" t="s">
        <v>15</v>
      </c>
      <c r="P1567" t="s">
        <v>15</v>
      </c>
    </row>
    <row r="1568" spans="1:23" x14ac:dyDescent="0.3">
      <c r="B1568" t="s">
        <v>2153</v>
      </c>
      <c r="C1568" t="s">
        <v>2153</v>
      </c>
      <c r="D1568" t="s">
        <v>2061</v>
      </c>
      <c r="E1568" t="s">
        <v>19</v>
      </c>
      <c r="F1568" t="s">
        <v>19</v>
      </c>
      <c r="G1568" t="s">
        <v>19</v>
      </c>
      <c r="H1568" t="s">
        <v>2153</v>
      </c>
      <c r="I1568" t="s">
        <v>2153</v>
      </c>
      <c r="J1568" t="s">
        <v>2061</v>
      </c>
      <c r="K1568" t="s">
        <v>2061</v>
      </c>
      <c r="L1568" t="s">
        <v>2061</v>
      </c>
      <c r="O1568" t="s">
        <v>2155</v>
      </c>
      <c r="P1568" t="s">
        <v>2155</v>
      </c>
    </row>
    <row r="1569" spans="1:16" x14ac:dyDescent="0.3">
      <c r="A1569" t="s">
        <v>39</v>
      </c>
      <c r="B1569" t="s">
        <v>2156</v>
      </c>
      <c r="C1569" t="s">
        <v>2156</v>
      </c>
      <c r="D1569" t="s">
        <v>2156</v>
      </c>
      <c r="E1569" t="s">
        <v>2157</v>
      </c>
      <c r="F1569" t="s">
        <v>45</v>
      </c>
      <c r="G1569" t="s">
        <v>41</v>
      </c>
      <c r="H1569" t="s">
        <v>2156</v>
      </c>
      <c r="I1569" t="s">
        <v>2156</v>
      </c>
      <c r="J1569" t="s">
        <v>2156</v>
      </c>
      <c r="K1569" t="s">
        <v>2156</v>
      </c>
      <c r="L1569" t="s">
        <v>2156</v>
      </c>
      <c r="O1569" t="s">
        <v>2157</v>
      </c>
      <c r="P1569" t="s">
        <v>45</v>
      </c>
    </row>
    <row r="1570" spans="1:16" x14ac:dyDescent="0.3">
      <c r="A1570" t="s">
        <v>666</v>
      </c>
      <c r="B1570" t="s">
        <v>2165</v>
      </c>
      <c r="C1570" t="s">
        <v>2165</v>
      </c>
      <c r="D1570" t="s">
        <v>2165</v>
      </c>
      <c r="E1570" t="s">
        <v>2165</v>
      </c>
      <c r="F1570" t="s">
        <v>2165</v>
      </c>
      <c r="G1570" t="s">
        <v>2165</v>
      </c>
      <c r="H1570" t="s">
        <v>2165</v>
      </c>
      <c r="I1570" t="s">
        <v>2165</v>
      </c>
      <c r="J1570" t="s">
        <v>2165</v>
      </c>
      <c r="K1570" t="s">
        <v>2165</v>
      </c>
      <c r="L1570" t="s">
        <v>2165</v>
      </c>
      <c r="O1570" t="s">
        <v>2165</v>
      </c>
      <c r="P1570" t="s">
        <v>2165</v>
      </c>
    </row>
    <row r="1571" spans="1:16" x14ac:dyDescent="0.3">
      <c r="A1571" t="s">
        <v>718</v>
      </c>
      <c r="B1571" t="s">
        <v>756</v>
      </c>
      <c r="C1571" t="s">
        <v>2159</v>
      </c>
      <c r="D1571" t="s">
        <v>52</v>
      </c>
      <c r="E1571" t="s">
        <v>2191</v>
      </c>
      <c r="F1571" t="s">
        <v>1570</v>
      </c>
      <c r="G1571" t="s">
        <v>568</v>
      </c>
      <c r="H1571" t="s">
        <v>2159</v>
      </c>
      <c r="I1571" t="s">
        <v>2159</v>
      </c>
      <c r="J1571" t="s">
        <v>52</v>
      </c>
      <c r="K1571" t="s">
        <v>86</v>
      </c>
      <c r="L1571" t="s">
        <v>86</v>
      </c>
      <c r="O1571" t="s">
        <v>70</v>
      </c>
      <c r="P1571" t="s">
        <v>263</v>
      </c>
    </row>
    <row r="1572" spans="1:16" x14ac:dyDescent="0.3">
      <c r="A1572" t="s">
        <v>762</v>
      </c>
      <c r="B1572" t="s">
        <v>52</v>
      </c>
      <c r="C1572" t="s">
        <v>2159</v>
      </c>
      <c r="D1572" t="s">
        <v>52</v>
      </c>
      <c r="E1572" t="s">
        <v>2196</v>
      </c>
      <c r="F1572" t="s">
        <v>2197</v>
      </c>
      <c r="G1572" t="s">
        <v>2198</v>
      </c>
      <c r="H1572" t="s">
        <v>2159</v>
      </c>
      <c r="I1572" t="s">
        <v>2159</v>
      </c>
      <c r="J1572" t="s">
        <v>52</v>
      </c>
      <c r="K1572" t="s">
        <v>86</v>
      </c>
      <c r="L1572" t="s">
        <v>86</v>
      </c>
      <c r="O1572" t="s">
        <v>228</v>
      </c>
      <c r="P1572" t="s">
        <v>60</v>
      </c>
    </row>
    <row r="1573" spans="1:16" x14ac:dyDescent="0.3">
      <c r="A1573" t="s">
        <v>807</v>
      </c>
      <c r="B1573" t="s">
        <v>251</v>
      </c>
      <c r="C1573" t="s">
        <v>2159</v>
      </c>
      <c r="D1573" t="s">
        <v>52</v>
      </c>
      <c r="E1573" t="s">
        <v>611</v>
      </c>
      <c r="F1573" t="s">
        <v>2199</v>
      </c>
      <c r="G1573" t="s">
        <v>2200</v>
      </c>
      <c r="H1573" t="s">
        <v>2159</v>
      </c>
      <c r="I1573" t="s">
        <v>2159</v>
      </c>
      <c r="J1573" t="s">
        <v>52</v>
      </c>
      <c r="K1573" t="s">
        <v>86</v>
      </c>
      <c r="L1573" t="s">
        <v>86</v>
      </c>
      <c r="O1573" t="s">
        <v>63</v>
      </c>
      <c r="P1573" t="s">
        <v>60</v>
      </c>
    </row>
    <row r="1574" spans="1:16" x14ac:dyDescent="0.3">
      <c r="A1574" t="s">
        <v>846</v>
      </c>
      <c r="B1574" t="s">
        <v>307</v>
      </c>
      <c r="C1574" t="s">
        <v>2159</v>
      </c>
      <c r="D1574" t="s">
        <v>52</v>
      </c>
      <c r="E1574" t="s">
        <v>2201</v>
      </c>
      <c r="F1574" t="s">
        <v>684</v>
      </c>
      <c r="G1574" t="s">
        <v>689</v>
      </c>
      <c r="H1574" t="s">
        <v>2159</v>
      </c>
      <c r="I1574" t="s">
        <v>2159</v>
      </c>
      <c r="J1574" t="s">
        <v>52</v>
      </c>
      <c r="K1574" t="s">
        <v>86</v>
      </c>
      <c r="L1574" t="s">
        <v>86</v>
      </c>
      <c r="O1574" t="s">
        <v>172</v>
      </c>
      <c r="P1574" t="s">
        <v>274</v>
      </c>
    </row>
    <row r="1575" spans="1:16" x14ac:dyDescent="0.3">
      <c r="A1575" t="s">
        <v>875</v>
      </c>
      <c r="B1575" t="s">
        <v>52</v>
      </c>
      <c r="C1575" t="s">
        <v>2159</v>
      </c>
      <c r="D1575" t="s">
        <v>52</v>
      </c>
      <c r="E1575" t="s">
        <v>1228</v>
      </c>
      <c r="F1575" t="s">
        <v>539</v>
      </c>
      <c r="G1575" t="s">
        <v>2202</v>
      </c>
      <c r="H1575" t="s">
        <v>2159</v>
      </c>
      <c r="I1575" t="s">
        <v>2159</v>
      </c>
      <c r="J1575" t="s">
        <v>52</v>
      </c>
      <c r="K1575" t="s">
        <v>86</v>
      </c>
      <c r="L1575" t="s">
        <v>86</v>
      </c>
      <c r="O1575" t="s">
        <v>71</v>
      </c>
      <c r="P1575" t="s">
        <v>60</v>
      </c>
    </row>
    <row r="1576" spans="1:16" x14ac:dyDescent="0.3">
      <c r="A1576" t="s">
        <v>915</v>
      </c>
      <c r="B1576" t="s">
        <v>160</v>
      </c>
      <c r="C1576" t="s">
        <v>2159</v>
      </c>
      <c r="D1576" t="s">
        <v>52</v>
      </c>
      <c r="E1576" t="s">
        <v>2189</v>
      </c>
      <c r="F1576" t="s">
        <v>2203</v>
      </c>
      <c r="G1576" t="s">
        <v>2204</v>
      </c>
      <c r="H1576" t="s">
        <v>2159</v>
      </c>
      <c r="I1576" t="s">
        <v>2159</v>
      </c>
      <c r="J1576" t="s">
        <v>52</v>
      </c>
      <c r="K1576" t="s">
        <v>86</v>
      </c>
      <c r="L1576" t="s">
        <v>86</v>
      </c>
      <c r="O1576" t="s">
        <v>70</v>
      </c>
      <c r="P1576" t="s">
        <v>158</v>
      </c>
    </row>
    <row r="1577" spans="1:16" x14ac:dyDescent="0.3">
      <c r="A1577" t="s">
        <v>953</v>
      </c>
      <c r="B1577" t="s">
        <v>409</v>
      </c>
      <c r="C1577" t="s">
        <v>2159</v>
      </c>
      <c r="D1577" t="s">
        <v>52</v>
      </c>
      <c r="E1577" t="s">
        <v>2205</v>
      </c>
      <c r="F1577" t="s">
        <v>2206</v>
      </c>
      <c r="G1577" t="s">
        <v>2207</v>
      </c>
      <c r="H1577" t="s">
        <v>2159</v>
      </c>
      <c r="I1577" t="s">
        <v>2159</v>
      </c>
      <c r="J1577" t="s">
        <v>52</v>
      </c>
      <c r="K1577" t="s">
        <v>86</v>
      </c>
      <c r="L1577" t="s">
        <v>86</v>
      </c>
      <c r="O1577" t="s">
        <v>228</v>
      </c>
      <c r="P1577" t="s">
        <v>133</v>
      </c>
    </row>
    <row r="1578" spans="1:16" x14ac:dyDescent="0.3">
      <c r="A1578" t="s">
        <v>983</v>
      </c>
      <c r="B1578" t="s">
        <v>134</v>
      </c>
      <c r="C1578" t="s">
        <v>2159</v>
      </c>
      <c r="D1578" t="s">
        <v>52</v>
      </c>
      <c r="E1578" t="s">
        <v>2208</v>
      </c>
      <c r="F1578" t="s">
        <v>2209</v>
      </c>
      <c r="G1578" t="s">
        <v>2210</v>
      </c>
      <c r="H1578" t="s">
        <v>2159</v>
      </c>
      <c r="I1578" t="s">
        <v>2159</v>
      </c>
      <c r="J1578" t="s">
        <v>52</v>
      </c>
      <c r="K1578" t="s">
        <v>86</v>
      </c>
      <c r="L1578" t="s">
        <v>86</v>
      </c>
      <c r="O1578" t="s">
        <v>133</v>
      </c>
      <c r="P1578" t="s">
        <v>60</v>
      </c>
    </row>
    <row r="1579" spans="1:16" x14ac:dyDescent="0.3">
      <c r="A1579" t="s">
        <v>1018</v>
      </c>
      <c r="B1579" t="s">
        <v>553</v>
      </c>
      <c r="C1579" t="s">
        <v>2159</v>
      </c>
      <c r="D1579" t="s">
        <v>52</v>
      </c>
      <c r="E1579" t="s">
        <v>2211</v>
      </c>
      <c r="F1579" t="s">
        <v>2212</v>
      </c>
      <c r="G1579" t="s">
        <v>2213</v>
      </c>
      <c r="H1579" t="s">
        <v>2159</v>
      </c>
      <c r="I1579" t="s">
        <v>2159</v>
      </c>
      <c r="J1579" t="s">
        <v>52</v>
      </c>
      <c r="K1579" t="s">
        <v>86</v>
      </c>
      <c r="L1579" t="s">
        <v>86</v>
      </c>
      <c r="O1579" t="s">
        <v>158</v>
      </c>
      <c r="P1579" t="s">
        <v>274</v>
      </c>
    </row>
    <row r="1580" spans="1:16" x14ac:dyDescent="0.3">
      <c r="A1580" t="s">
        <v>1059</v>
      </c>
      <c r="B1580" t="s">
        <v>71</v>
      </c>
      <c r="C1580" t="s">
        <v>2159</v>
      </c>
      <c r="D1580" t="s">
        <v>52</v>
      </c>
      <c r="E1580" t="s">
        <v>862</v>
      </c>
      <c r="F1580" t="s">
        <v>2214</v>
      </c>
      <c r="G1580" t="s">
        <v>372</v>
      </c>
      <c r="H1580" t="s">
        <v>2159</v>
      </c>
      <c r="I1580" t="s">
        <v>2159</v>
      </c>
      <c r="J1580" t="s">
        <v>52</v>
      </c>
      <c r="K1580" t="s">
        <v>86</v>
      </c>
      <c r="L1580" t="s">
        <v>86</v>
      </c>
      <c r="O1580" t="s">
        <v>147</v>
      </c>
      <c r="P1580" t="s">
        <v>60</v>
      </c>
    </row>
    <row r="1581" spans="1:16" x14ac:dyDescent="0.3">
      <c r="A1581" t="s">
        <v>1089</v>
      </c>
      <c r="B1581" t="s">
        <v>52</v>
      </c>
      <c r="C1581" t="s">
        <v>2159</v>
      </c>
      <c r="D1581" t="s">
        <v>52</v>
      </c>
      <c r="E1581" t="s">
        <v>2215</v>
      </c>
      <c r="F1581" t="s">
        <v>539</v>
      </c>
      <c r="G1581" t="s">
        <v>2202</v>
      </c>
      <c r="H1581" t="s">
        <v>2159</v>
      </c>
      <c r="I1581" t="s">
        <v>2159</v>
      </c>
      <c r="J1581" t="s">
        <v>52</v>
      </c>
      <c r="K1581" t="s">
        <v>86</v>
      </c>
      <c r="L1581" t="s">
        <v>86</v>
      </c>
      <c r="O1581" t="s">
        <v>133</v>
      </c>
      <c r="P1581" t="s">
        <v>158</v>
      </c>
    </row>
    <row r="1582" spans="1:16" x14ac:dyDescent="0.3">
      <c r="A1582" t="s">
        <v>1123</v>
      </c>
      <c r="B1582" t="s">
        <v>251</v>
      </c>
      <c r="C1582" t="s">
        <v>2159</v>
      </c>
      <c r="D1582" t="s">
        <v>52</v>
      </c>
      <c r="E1582" t="s">
        <v>1747</v>
      </c>
      <c r="F1582" t="s">
        <v>2216</v>
      </c>
      <c r="G1582" t="s">
        <v>2217</v>
      </c>
      <c r="H1582" t="s">
        <v>2159</v>
      </c>
      <c r="I1582" t="s">
        <v>2159</v>
      </c>
      <c r="J1582" t="s">
        <v>52</v>
      </c>
      <c r="K1582" t="s">
        <v>86</v>
      </c>
      <c r="L1582" t="s">
        <v>86</v>
      </c>
      <c r="O1582" t="s">
        <v>133</v>
      </c>
      <c r="P1582" t="s">
        <v>158</v>
      </c>
    </row>
    <row r="1583" spans="1:16" x14ac:dyDescent="0.3">
      <c r="A1583" t="s">
        <v>1159</v>
      </c>
      <c r="B1583" t="s">
        <v>71</v>
      </c>
      <c r="C1583" t="s">
        <v>2159</v>
      </c>
      <c r="D1583" t="s">
        <v>52</v>
      </c>
      <c r="E1583" t="s">
        <v>96</v>
      </c>
      <c r="F1583" t="s">
        <v>486</v>
      </c>
      <c r="G1583" t="s">
        <v>147</v>
      </c>
      <c r="H1583" t="s">
        <v>2159</v>
      </c>
      <c r="I1583" t="s">
        <v>2159</v>
      </c>
      <c r="J1583" t="s">
        <v>52</v>
      </c>
      <c r="K1583" t="s">
        <v>86</v>
      </c>
      <c r="L1583" t="s">
        <v>86</v>
      </c>
      <c r="O1583" t="s">
        <v>71</v>
      </c>
      <c r="P1583" t="s">
        <v>60</v>
      </c>
    </row>
    <row r="1584" spans="1:16" s="4" customFormat="1" x14ac:dyDescent="0.3">
      <c r="A1584" s="4" t="s">
        <v>2299</v>
      </c>
      <c r="B1584" s="4" t="s">
        <v>2159</v>
      </c>
      <c r="C1584" s="4" t="s">
        <v>2430</v>
      </c>
      <c r="D1584" s="4" t="s">
        <v>488</v>
      </c>
      <c r="E1584" s="4" t="s">
        <v>1533</v>
      </c>
      <c r="F1584" s="4" t="s">
        <v>2431</v>
      </c>
      <c r="G1584" s="4" t="s">
        <v>1297</v>
      </c>
      <c r="H1584" s="4" t="s">
        <v>150</v>
      </c>
      <c r="I1584" s="4" t="s">
        <v>150</v>
      </c>
      <c r="J1584" s="4" t="s">
        <v>488</v>
      </c>
      <c r="K1584" s="4" t="s">
        <v>488</v>
      </c>
      <c r="L1584" s="4" t="s">
        <v>488</v>
      </c>
      <c r="O1584" s="4" t="s">
        <v>94</v>
      </c>
      <c r="P1584" s="4" t="s">
        <v>249</v>
      </c>
    </row>
    <row r="1586" spans="1:23" x14ac:dyDescent="0.3">
      <c r="A1586" s="23" t="s">
        <v>2218</v>
      </c>
      <c r="B1586" s="24"/>
      <c r="C1586" s="24"/>
      <c r="D1586" s="24"/>
      <c r="E1586" s="24"/>
    </row>
    <row r="1587" spans="1:23" x14ac:dyDescent="0.3">
      <c r="B1587" t="s">
        <v>2138</v>
      </c>
      <c r="C1587" t="s">
        <v>2139</v>
      </c>
      <c r="D1587" t="s">
        <v>2140</v>
      </c>
      <c r="E1587" t="s">
        <v>2141</v>
      </c>
      <c r="F1587" t="s">
        <v>2142</v>
      </c>
      <c r="G1587" t="s">
        <v>2143</v>
      </c>
      <c r="H1587" t="s">
        <v>10</v>
      </c>
      <c r="I1587" t="s">
        <v>10</v>
      </c>
      <c r="J1587" t="s">
        <v>10</v>
      </c>
      <c r="K1587" t="s">
        <v>2144</v>
      </c>
      <c r="L1587" t="s">
        <v>2145</v>
      </c>
      <c r="O1587" t="s">
        <v>2146</v>
      </c>
      <c r="P1587" t="s">
        <v>2147</v>
      </c>
      <c r="Q1587" t="s">
        <v>2148</v>
      </c>
      <c r="R1587" t="s">
        <v>2149</v>
      </c>
      <c r="S1587" t="s">
        <v>2150</v>
      </c>
      <c r="T1587" t="s">
        <v>2151</v>
      </c>
      <c r="U1587" t="s">
        <v>2152</v>
      </c>
      <c r="V1587" t="s">
        <v>15</v>
      </c>
      <c r="W1587" t="s">
        <v>15</v>
      </c>
    </row>
    <row r="1588" spans="1:23" x14ac:dyDescent="0.3">
      <c r="B1588" t="s">
        <v>2153</v>
      </c>
      <c r="C1588" t="s">
        <v>2153</v>
      </c>
      <c r="D1588" t="s">
        <v>2153</v>
      </c>
      <c r="E1588" t="s">
        <v>2153</v>
      </c>
      <c r="F1588" t="s">
        <v>2061</v>
      </c>
      <c r="G1588" t="s">
        <v>2061</v>
      </c>
      <c r="H1588" t="s">
        <v>19</v>
      </c>
      <c r="I1588" t="s">
        <v>19</v>
      </c>
      <c r="J1588" t="s">
        <v>19</v>
      </c>
      <c r="K1588" t="s">
        <v>2153</v>
      </c>
      <c r="L1588" t="s">
        <v>2153</v>
      </c>
      <c r="O1588" t="s">
        <v>2153</v>
      </c>
      <c r="P1588" t="s">
        <v>2153</v>
      </c>
      <c r="Q1588" t="s">
        <v>2061</v>
      </c>
      <c r="R1588" t="s">
        <v>2061</v>
      </c>
      <c r="S1588" t="s">
        <v>2154</v>
      </c>
      <c r="T1588" t="s">
        <v>2061</v>
      </c>
      <c r="U1588" t="s">
        <v>2061</v>
      </c>
      <c r="V1588" t="s">
        <v>2155</v>
      </c>
      <c r="W1588" t="s">
        <v>2155</v>
      </c>
    </row>
    <row r="1589" spans="1:23" x14ac:dyDescent="0.3">
      <c r="A1589" t="s">
        <v>39</v>
      </c>
      <c r="B1589" t="s">
        <v>2156</v>
      </c>
      <c r="C1589" t="s">
        <v>2156</v>
      </c>
      <c r="D1589" t="s">
        <v>2156</v>
      </c>
      <c r="E1589" t="s">
        <v>2156</v>
      </c>
      <c r="F1589" t="s">
        <v>2156</v>
      </c>
      <c r="G1589" t="s">
        <v>2156</v>
      </c>
      <c r="H1589" t="s">
        <v>2157</v>
      </c>
      <c r="I1589" t="s">
        <v>45</v>
      </c>
      <c r="J1589" t="s">
        <v>41</v>
      </c>
      <c r="K1589" t="s">
        <v>2156</v>
      </c>
      <c r="L1589" t="s">
        <v>2156</v>
      </c>
      <c r="O1589" t="s">
        <v>2156</v>
      </c>
      <c r="P1589" t="s">
        <v>2156</v>
      </c>
      <c r="Q1589" t="s">
        <v>2156</v>
      </c>
      <c r="R1589" t="s">
        <v>2156</v>
      </c>
      <c r="S1589" t="s">
        <v>2156</v>
      </c>
      <c r="T1589" t="s">
        <v>2156</v>
      </c>
      <c r="U1589" t="s">
        <v>2156</v>
      </c>
      <c r="V1589" t="s">
        <v>2157</v>
      </c>
      <c r="W1589" t="s">
        <v>45</v>
      </c>
    </row>
    <row r="1590" spans="1:23" x14ac:dyDescent="0.3">
      <c r="A1590" t="s">
        <v>72</v>
      </c>
      <c r="B1590" t="s">
        <v>1234</v>
      </c>
      <c r="C1590" t="s">
        <v>1234</v>
      </c>
      <c r="D1590" t="s">
        <v>1234</v>
      </c>
      <c r="E1590" t="s">
        <v>1234</v>
      </c>
      <c r="F1590" t="s">
        <v>1234</v>
      </c>
      <c r="G1590" t="s">
        <v>1234</v>
      </c>
      <c r="H1590" t="s">
        <v>1234</v>
      </c>
      <c r="I1590" t="s">
        <v>1234</v>
      </c>
      <c r="J1590" t="s">
        <v>1234</v>
      </c>
      <c r="K1590" t="s">
        <v>1234</v>
      </c>
      <c r="L1590" t="s">
        <v>1234</v>
      </c>
      <c r="O1590" t="s">
        <v>1234</v>
      </c>
      <c r="P1590" t="s">
        <v>1234</v>
      </c>
      <c r="Q1590" t="s">
        <v>1234</v>
      </c>
      <c r="R1590" t="s">
        <v>1234</v>
      </c>
      <c r="S1590" t="s">
        <v>1234</v>
      </c>
      <c r="T1590" t="s">
        <v>1234</v>
      </c>
      <c r="U1590" t="s">
        <v>1234</v>
      </c>
      <c r="V1590" t="s">
        <v>1234</v>
      </c>
      <c r="W1590" t="s">
        <v>1234</v>
      </c>
    </row>
    <row r="1591" spans="1:23" x14ac:dyDescent="0.3">
      <c r="A1591" t="s">
        <v>109</v>
      </c>
      <c r="B1591" t="s">
        <v>1234</v>
      </c>
      <c r="C1591" t="s">
        <v>1234</v>
      </c>
      <c r="D1591" t="s">
        <v>1234</v>
      </c>
      <c r="E1591" t="s">
        <v>1234</v>
      </c>
      <c r="F1591" t="s">
        <v>1234</v>
      </c>
      <c r="G1591" t="s">
        <v>1234</v>
      </c>
      <c r="H1591" t="s">
        <v>1234</v>
      </c>
      <c r="I1591" t="s">
        <v>1234</v>
      </c>
      <c r="J1591" t="s">
        <v>1234</v>
      </c>
      <c r="K1591" t="s">
        <v>1234</v>
      </c>
      <c r="L1591" t="s">
        <v>1234</v>
      </c>
      <c r="O1591" t="s">
        <v>1234</v>
      </c>
      <c r="P1591" t="s">
        <v>1234</v>
      </c>
      <c r="Q1591" t="s">
        <v>1234</v>
      </c>
      <c r="R1591" t="s">
        <v>1234</v>
      </c>
      <c r="S1591" t="s">
        <v>1234</v>
      </c>
      <c r="T1591" t="s">
        <v>1234</v>
      </c>
      <c r="U1591" t="s">
        <v>1234</v>
      </c>
      <c r="V1591" t="s">
        <v>1234</v>
      </c>
      <c r="W1591" t="s">
        <v>1234</v>
      </c>
    </row>
    <row r="1592" spans="1:23" x14ac:dyDescent="0.3">
      <c r="A1592" t="s">
        <v>148</v>
      </c>
      <c r="B1592" t="s">
        <v>1234</v>
      </c>
      <c r="C1592" t="s">
        <v>1234</v>
      </c>
      <c r="D1592" t="s">
        <v>1234</v>
      </c>
      <c r="E1592" t="s">
        <v>1234</v>
      </c>
      <c r="F1592" t="s">
        <v>1234</v>
      </c>
      <c r="G1592" t="s">
        <v>1234</v>
      </c>
      <c r="H1592" t="s">
        <v>1234</v>
      </c>
      <c r="I1592" t="s">
        <v>1234</v>
      </c>
      <c r="J1592" t="s">
        <v>1234</v>
      </c>
      <c r="K1592" t="s">
        <v>1234</v>
      </c>
      <c r="L1592" t="s">
        <v>1234</v>
      </c>
      <c r="O1592" t="s">
        <v>1234</v>
      </c>
      <c r="P1592" t="s">
        <v>1234</v>
      </c>
      <c r="Q1592" t="s">
        <v>1234</v>
      </c>
      <c r="R1592" t="s">
        <v>1234</v>
      </c>
      <c r="S1592" t="s">
        <v>1234</v>
      </c>
      <c r="T1592" t="s">
        <v>1234</v>
      </c>
      <c r="U1592" t="s">
        <v>1234</v>
      </c>
      <c r="V1592" t="s">
        <v>1234</v>
      </c>
      <c r="W1592" t="s">
        <v>1234</v>
      </c>
    </row>
    <row r="1593" spans="1:23" x14ac:dyDescent="0.3">
      <c r="A1593" t="s">
        <v>176</v>
      </c>
      <c r="B1593" t="s">
        <v>1234</v>
      </c>
      <c r="C1593" t="s">
        <v>1234</v>
      </c>
      <c r="D1593" t="s">
        <v>1234</v>
      </c>
      <c r="E1593" t="s">
        <v>1234</v>
      </c>
      <c r="F1593" t="s">
        <v>1234</v>
      </c>
      <c r="G1593" t="s">
        <v>1234</v>
      </c>
      <c r="H1593" t="s">
        <v>1234</v>
      </c>
      <c r="I1593" t="s">
        <v>1234</v>
      </c>
      <c r="J1593" t="s">
        <v>1234</v>
      </c>
      <c r="K1593" t="s">
        <v>1234</v>
      </c>
      <c r="L1593" t="s">
        <v>1234</v>
      </c>
      <c r="O1593" t="s">
        <v>1234</v>
      </c>
      <c r="P1593" t="s">
        <v>1234</v>
      </c>
      <c r="Q1593" t="s">
        <v>1234</v>
      </c>
      <c r="R1593" t="s">
        <v>1234</v>
      </c>
      <c r="S1593" t="s">
        <v>1234</v>
      </c>
      <c r="T1593" t="s">
        <v>1234</v>
      </c>
      <c r="U1593" t="s">
        <v>1234</v>
      </c>
      <c r="V1593" t="s">
        <v>1234</v>
      </c>
      <c r="W1593" t="s">
        <v>1234</v>
      </c>
    </row>
    <row r="1594" spans="1:23" x14ac:dyDescent="0.3">
      <c r="A1594" t="s">
        <v>200</v>
      </c>
      <c r="B1594" t="s">
        <v>1234</v>
      </c>
      <c r="C1594" t="s">
        <v>1234</v>
      </c>
      <c r="D1594" t="s">
        <v>1234</v>
      </c>
      <c r="E1594" t="s">
        <v>1234</v>
      </c>
      <c r="F1594" t="s">
        <v>1234</v>
      </c>
      <c r="G1594" t="s">
        <v>1234</v>
      </c>
      <c r="H1594" t="s">
        <v>1234</v>
      </c>
      <c r="I1594" t="s">
        <v>1234</v>
      </c>
      <c r="J1594" t="s">
        <v>1234</v>
      </c>
      <c r="K1594" t="s">
        <v>1234</v>
      </c>
      <c r="L1594" t="s">
        <v>1234</v>
      </c>
      <c r="O1594" t="s">
        <v>1234</v>
      </c>
      <c r="P1594" t="s">
        <v>1234</v>
      </c>
      <c r="Q1594" t="s">
        <v>1234</v>
      </c>
      <c r="R1594" t="s">
        <v>1234</v>
      </c>
      <c r="S1594" t="s">
        <v>1234</v>
      </c>
      <c r="T1594" t="s">
        <v>1234</v>
      </c>
      <c r="U1594" t="s">
        <v>1234</v>
      </c>
      <c r="V1594" t="s">
        <v>1234</v>
      </c>
      <c r="W1594" t="s">
        <v>1234</v>
      </c>
    </row>
    <row r="1595" spans="1:23" x14ac:dyDescent="0.3">
      <c r="A1595" t="s">
        <v>227</v>
      </c>
      <c r="B1595" t="s">
        <v>1234</v>
      </c>
      <c r="C1595" t="s">
        <v>1234</v>
      </c>
      <c r="D1595" t="s">
        <v>1234</v>
      </c>
      <c r="E1595" t="s">
        <v>1234</v>
      </c>
      <c r="F1595" t="s">
        <v>1234</v>
      </c>
      <c r="G1595" t="s">
        <v>1234</v>
      </c>
      <c r="H1595" t="s">
        <v>1234</v>
      </c>
      <c r="I1595" t="s">
        <v>1234</v>
      </c>
      <c r="J1595" t="s">
        <v>1234</v>
      </c>
      <c r="K1595" t="s">
        <v>1234</v>
      </c>
      <c r="L1595" t="s">
        <v>1234</v>
      </c>
      <c r="O1595" t="s">
        <v>1234</v>
      </c>
      <c r="P1595" t="s">
        <v>1234</v>
      </c>
      <c r="Q1595" t="s">
        <v>1234</v>
      </c>
      <c r="R1595" t="s">
        <v>1234</v>
      </c>
      <c r="S1595" t="s">
        <v>1234</v>
      </c>
      <c r="T1595" t="s">
        <v>1234</v>
      </c>
      <c r="U1595" t="s">
        <v>1234</v>
      </c>
      <c r="V1595" t="s">
        <v>1234</v>
      </c>
      <c r="W1595" t="s">
        <v>1234</v>
      </c>
    </row>
    <row r="1596" spans="1:23" x14ac:dyDescent="0.3">
      <c r="A1596" t="s">
        <v>262</v>
      </c>
      <c r="B1596" t="s">
        <v>1234</v>
      </c>
      <c r="C1596" t="s">
        <v>1234</v>
      </c>
      <c r="D1596" t="s">
        <v>1234</v>
      </c>
      <c r="E1596" t="s">
        <v>1234</v>
      </c>
      <c r="F1596" t="s">
        <v>1234</v>
      </c>
      <c r="G1596" t="s">
        <v>1234</v>
      </c>
      <c r="H1596" t="s">
        <v>1234</v>
      </c>
      <c r="I1596" t="s">
        <v>1234</v>
      </c>
      <c r="J1596" t="s">
        <v>1234</v>
      </c>
      <c r="K1596" t="s">
        <v>1234</v>
      </c>
      <c r="L1596" t="s">
        <v>1234</v>
      </c>
      <c r="O1596" t="s">
        <v>1234</v>
      </c>
      <c r="P1596" t="s">
        <v>1234</v>
      </c>
      <c r="Q1596" t="s">
        <v>1234</v>
      </c>
      <c r="R1596" t="s">
        <v>1234</v>
      </c>
      <c r="S1596" t="s">
        <v>1234</v>
      </c>
      <c r="T1596" t="s">
        <v>1234</v>
      </c>
      <c r="U1596" t="s">
        <v>1234</v>
      </c>
      <c r="V1596" t="s">
        <v>1234</v>
      </c>
      <c r="W1596" t="s">
        <v>1234</v>
      </c>
    </row>
    <row r="1597" spans="1:23" x14ac:dyDescent="0.3">
      <c r="A1597" t="s">
        <v>291</v>
      </c>
      <c r="B1597" t="s">
        <v>1234</v>
      </c>
      <c r="C1597" t="s">
        <v>1234</v>
      </c>
      <c r="D1597" t="s">
        <v>1234</v>
      </c>
      <c r="E1597" t="s">
        <v>1234</v>
      </c>
      <c r="F1597" t="s">
        <v>1234</v>
      </c>
      <c r="G1597" t="s">
        <v>1234</v>
      </c>
      <c r="H1597" t="s">
        <v>1234</v>
      </c>
      <c r="I1597" t="s">
        <v>1234</v>
      </c>
      <c r="J1597" t="s">
        <v>1234</v>
      </c>
      <c r="K1597" t="s">
        <v>1234</v>
      </c>
      <c r="L1597" t="s">
        <v>1234</v>
      </c>
      <c r="O1597" t="s">
        <v>1234</v>
      </c>
      <c r="P1597" t="s">
        <v>1234</v>
      </c>
      <c r="Q1597" t="s">
        <v>1234</v>
      </c>
      <c r="R1597" t="s">
        <v>1234</v>
      </c>
      <c r="S1597" t="s">
        <v>1234</v>
      </c>
      <c r="T1597" t="s">
        <v>1234</v>
      </c>
      <c r="U1597" t="s">
        <v>1234</v>
      </c>
      <c r="V1597" t="s">
        <v>1234</v>
      </c>
      <c r="W1597" t="s">
        <v>1234</v>
      </c>
    </row>
    <row r="1598" spans="1:23" x14ac:dyDescent="0.3">
      <c r="A1598" t="s">
        <v>310</v>
      </c>
      <c r="B1598" t="s">
        <v>1234</v>
      </c>
      <c r="C1598" t="s">
        <v>1234</v>
      </c>
      <c r="D1598" t="s">
        <v>1234</v>
      </c>
      <c r="E1598" t="s">
        <v>1234</v>
      </c>
      <c r="F1598" t="s">
        <v>1234</v>
      </c>
      <c r="G1598" t="s">
        <v>1234</v>
      </c>
      <c r="H1598" t="s">
        <v>1234</v>
      </c>
      <c r="I1598" t="s">
        <v>1234</v>
      </c>
      <c r="J1598" t="s">
        <v>1234</v>
      </c>
      <c r="K1598" t="s">
        <v>1234</v>
      </c>
      <c r="L1598" t="s">
        <v>1234</v>
      </c>
      <c r="O1598" t="s">
        <v>1234</v>
      </c>
      <c r="P1598" t="s">
        <v>1234</v>
      </c>
      <c r="Q1598" t="s">
        <v>1234</v>
      </c>
      <c r="R1598" t="s">
        <v>1234</v>
      </c>
      <c r="S1598" t="s">
        <v>1234</v>
      </c>
      <c r="T1598" t="s">
        <v>1234</v>
      </c>
      <c r="U1598" t="s">
        <v>1234</v>
      </c>
      <c r="V1598" t="s">
        <v>1234</v>
      </c>
      <c r="W1598" t="s">
        <v>1234</v>
      </c>
    </row>
    <row r="1599" spans="1:23" x14ac:dyDescent="0.3">
      <c r="A1599" t="s">
        <v>341</v>
      </c>
      <c r="B1599" t="s">
        <v>1234</v>
      </c>
      <c r="C1599" t="s">
        <v>1234</v>
      </c>
      <c r="D1599" t="s">
        <v>1234</v>
      </c>
      <c r="E1599" t="s">
        <v>1234</v>
      </c>
      <c r="F1599" t="s">
        <v>1234</v>
      </c>
      <c r="G1599" t="s">
        <v>1234</v>
      </c>
      <c r="H1599" t="s">
        <v>1234</v>
      </c>
      <c r="I1599" t="s">
        <v>1234</v>
      </c>
      <c r="J1599" t="s">
        <v>1234</v>
      </c>
      <c r="K1599" t="s">
        <v>1234</v>
      </c>
      <c r="L1599" t="s">
        <v>1234</v>
      </c>
      <c r="O1599" t="s">
        <v>1234</v>
      </c>
      <c r="P1599" t="s">
        <v>1234</v>
      </c>
      <c r="Q1599" t="s">
        <v>52</v>
      </c>
      <c r="R1599" t="s">
        <v>52</v>
      </c>
      <c r="S1599" t="s">
        <v>1234</v>
      </c>
      <c r="T1599" t="s">
        <v>1234</v>
      </c>
      <c r="U1599" t="s">
        <v>1234</v>
      </c>
      <c r="V1599" t="s">
        <v>1234</v>
      </c>
      <c r="W1599" t="s">
        <v>1234</v>
      </c>
    </row>
    <row r="1600" spans="1:23" x14ac:dyDescent="0.3">
      <c r="A1600" t="s">
        <v>366</v>
      </c>
      <c r="B1600" t="s">
        <v>1234</v>
      </c>
      <c r="C1600" t="s">
        <v>1234</v>
      </c>
      <c r="D1600" t="s">
        <v>1234</v>
      </c>
      <c r="E1600" t="s">
        <v>1234</v>
      </c>
      <c r="F1600" t="s">
        <v>1234</v>
      </c>
      <c r="G1600" t="s">
        <v>1234</v>
      </c>
      <c r="H1600" t="s">
        <v>1234</v>
      </c>
      <c r="I1600" t="s">
        <v>1234</v>
      </c>
      <c r="J1600" t="s">
        <v>1234</v>
      </c>
      <c r="K1600" t="s">
        <v>1234</v>
      </c>
      <c r="L1600" t="s">
        <v>1234</v>
      </c>
      <c r="O1600" t="s">
        <v>1234</v>
      </c>
      <c r="P1600" t="s">
        <v>1234</v>
      </c>
      <c r="Q1600" t="s">
        <v>1234</v>
      </c>
      <c r="R1600" t="s">
        <v>1234</v>
      </c>
      <c r="S1600" t="s">
        <v>1234</v>
      </c>
      <c r="T1600" t="s">
        <v>1234</v>
      </c>
      <c r="U1600" t="s">
        <v>1234</v>
      </c>
      <c r="V1600" t="s">
        <v>1234</v>
      </c>
      <c r="W1600" t="s">
        <v>1234</v>
      </c>
    </row>
    <row r="1601" spans="1:23" x14ac:dyDescent="0.3">
      <c r="A1601" t="s">
        <v>394</v>
      </c>
      <c r="B1601" t="s">
        <v>1234</v>
      </c>
      <c r="C1601" t="s">
        <v>1234</v>
      </c>
      <c r="D1601" t="s">
        <v>1234</v>
      </c>
      <c r="E1601" t="s">
        <v>1234</v>
      </c>
      <c r="F1601" t="s">
        <v>1234</v>
      </c>
      <c r="G1601" t="s">
        <v>1234</v>
      </c>
      <c r="H1601" t="s">
        <v>1234</v>
      </c>
      <c r="I1601" t="s">
        <v>1234</v>
      </c>
      <c r="J1601" t="s">
        <v>1234</v>
      </c>
      <c r="K1601" t="s">
        <v>1234</v>
      </c>
      <c r="L1601" t="s">
        <v>1234</v>
      </c>
      <c r="O1601" t="s">
        <v>1234</v>
      </c>
      <c r="P1601" t="s">
        <v>1234</v>
      </c>
      <c r="Q1601" t="s">
        <v>1234</v>
      </c>
      <c r="R1601" t="s">
        <v>1234</v>
      </c>
      <c r="S1601" t="s">
        <v>1234</v>
      </c>
      <c r="T1601" t="s">
        <v>1234</v>
      </c>
      <c r="U1601" t="s">
        <v>1234</v>
      </c>
      <c r="V1601" t="s">
        <v>1234</v>
      </c>
      <c r="W1601" t="s">
        <v>1234</v>
      </c>
    </row>
    <row r="1602" spans="1:23" x14ac:dyDescent="0.3">
      <c r="A1602" t="s">
        <v>420</v>
      </c>
      <c r="B1602" t="s">
        <v>1234</v>
      </c>
      <c r="C1602" t="s">
        <v>1234</v>
      </c>
      <c r="D1602" t="s">
        <v>1234</v>
      </c>
      <c r="E1602" t="s">
        <v>1234</v>
      </c>
      <c r="F1602" t="s">
        <v>1234</v>
      </c>
      <c r="G1602" t="s">
        <v>1234</v>
      </c>
      <c r="H1602" t="s">
        <v>1234</v>
      </c>
      <c r="I1602" t="s">
        <v>1234</v>
      </c>
      <c r="J1602" t="s">
        <v>1234</v>
      </c>
      <c r="K1602" t="s">
        <v>1234</v>
      </c>
      <c r="L1602" t="s">
        <v>1234</v>
      </c>
      <c r="O1602" t="s">
        <v>1234</v>
      </c>
      <c r="P1602" t="s">
        <v>1234</v>
      </c>
      <c r="Q1602" t="s">
        <v>1234</v>
      </c>
      <c r="R1602" t="s">
        <v>1234</v>
      </c>
      <c r="S1602" t="s">
        <v>1234</v>
      </c>
      <c r="T1602" t="s">
        <v>1234</v>
      </c>
      <c r="U1602" t="s">
        <v>1234</v>
      </c>
      <c r="V1602" t="s">
        <v>1234</v>
      </c>
      <c r="W1602" t="s">
        <v>1234</v>
      </c>
    </row>
    <row r="1603" spans="1:23" x14ac:dyDescent="0.3">
      <c r="A1603" t="s">
        <v>442</v>
      </c>
      <c r="B1603" t="s">
        <v>1234</v>
      </c>
      <c r="C1603" t="s">
        <v>1234</v>
      </c>
      <c r="D1603" t="s">
        <v>1234</v>
      </c>
      <c r="E1603" t="s">
        <v>1234</v>
      </c>
      <c r="F1603" t="s">
        <v>1234</v>
      </c>
      <c r="G1603" t="s">
        <v>1234</v>
      </c>
      <c r="H1603" t="s">
        <v>1234</v>
      </c>
      <c r="I1603" t="s">
        <v>1234</v>
      </c>
      <c r="J1603" t="s">
        <v>1234</v>
      </c>
      <c r="K1603" t="s">
        <v>1234</v>
      </c>
      <c r="L1603" t="s">
        <v>1234</v>
      </c>
      <c r="O1603" t="s">
        <v>1234</v>
      </c>
      <c r="P1603" t="s">
        <v>1234</v>
      </c>
      <c r="Q1603" t="s">
        <v>1234</v>
      </c>
      <c r="R1603" t="s">
        <v>1234</v>
      </c>
      <c r="S1603" t="s">
        <v>1234</v>
      </c>
      <c r="T1603" t="s">
        <v>1234</v>
      </c>
      <c r="U1603" t="s">
        <v>1234</v>
      </c>
      <c r="V1603" t="s">
        <v>1234</v>
      </c>
      <c r="W1603" t="s">
        <v>1234</v>
      </c>
    </row>
    <row r="1604" spans="1:23" x14ac:dyDescent="0.3">
      <c r="A1604" t="s">
        <v>464</v>
      </c>
      <c r="B1604" t="s">
        <v>1234</v>
      </c>
      <c r="C1604" t="s">
        <v>1234</v>
      </c>
      <c r="D1604" t="s">
        <v>1234</v>
      </c>
      <c r="E1604" t="s">
        <v>1234</v>
      </c>
      <c r="F1604" t="s">
        <v>1234</v>
      </c>
      <c r="G1604" t="s">
        <v>1234</v>
      </c>
      <c r="H1604" t="s">
        <v>1234</v>
      </c>
      <c r="I1604" t="s">
        <v>1234</v>
      </c>
      <c r="J1604" t="s">
        <v>1234</v>
      </c>
      <c r="K1604" t="s">
        <v>1234</v>
      </c>
      <c r="L1604" t="s">
        <v>1234</v>
      </c>
      <c r="O1604" t="s">
        <v>1234</v>
      </c>
      <c r="P1604" t="s">
        <v>1234</v>
      </c>
      <c r="Q1604" t="s">
        <v>1234</v>
      </c>
      <c r="R1604" t="s">
        <v>1234</v>
      </c>
      <c r="S1604" t="s">
        <v>1234</v>
      </c>
      <c r="T1604" t="s">
        <v>1234</v>
      </c>
      <c r="U1604" t="s">
        <v>1234</v>
      </c>
      <c r="V1604" t="s">
        <v>1234</v>
      </c>
      <c r="W1604" t="s">
        <v>1234</v>
      </c>
    </row>
    <row r="1605" spans="1:23" x14ac:dyDescent="0.3">
      <c r="A1605" t="s">
        <v>480</v>
      </c>
      <c r="B1605" t="s">
        <v>1234</v>
      </c>
      <c r="C1605" t="s">
        <v>1234</v>
      </c>
      <c r="D1605" t="s">
        <v>1234</v>
      </c>
      <c r="E1605" t="s">
        <v>1234</v>
      </c>
      <c r="F1605" t="s">
        <v>1234</v>
      </c>
      <c r="G1605" t="s">
        <v>1234</v>
      </c>
      <c r="H1605" t="s">
        <v>1234</v>
      </c>
      <c r="I1605" t="s">
        <v>1234</v>
      </c>
      <c r="J1605" t="s">
        <v>1234</v>
      </c>
      <c r="K1605" t="s">
        <v>1234</v>
      </c>
      <c r="L1605" t="s">
        <v>1234</v>
      </c>
      <c r="O1605" t="s">
        <v>1234</v>
      </c>
      <c r="P1605" t="s">
        <v>1234</v>
      </c>
      <c r="Q1605" t="s">
        <v>1234</v>
      </c>
      <c r="R1605" t="s">
        <v>1234</v>
      </c>
      <c r="S1605" t="s">
        <v>1234</v>
      </c>
      <c r="T1605" t="s">
        <v>1234</v>
      </c>
      <c r="U1605" t="s">
        <v>1234</v>
      </c>
      <c r="V1605" t="s">
        <v>1234</v>
      </c>
      <c r="W1605" t="s">
        <v>1234</v>
      </c>
    </row>
    <row r="1606" spans="1:23" x14ac:dyDescent="0.3">
      <c r="A1606" t="s">
        <v>503</v>
      </c>
      <c r="B1606" t="s">
        <v>1234</v>
      </c>
      <c r="C1606" t="s">
        <v>1234</v>
      </c>
      <c r="D1606" t="s">
        <v>1234</v>
      </c>
      <c r="E1606" t="s">
        <v>1234</v>
      </c>
      <c r="F1606" t="s">
        <v>1234</v>
      </c>
      <c r="G1606" t="s">
        <v>1234</v>
      </c>
      <c r="H1606" t="s">
        <v>1234</v>
      </c>
      <c r="I1606" t="s">
        <v>1234</v>
      </c>
      <c r="J1606" t="s">
        <v>1234</v>
      </c>
      <c r="K1606" t="s">
        <v>1234</v>
      </c>
      <c r="L1606" t="s">
        <v>1234</v>
      </c>
      <c r="O1606" t="s">
        <v>1234</v>
      </c>
      <c r="P1606" t="s">
        <v>1234</v>
      </c>
      <c r="Q1606" t="s">
        <v>1234</v>
      </c>
      <c r="R1606" t="s">
        <v>1234</v>
      </c>
      <c r="S1606" t="s">
        <v>1234</v>
      </c>
      <c r="T1606" t="s">
        <v>1234</v>
      </c>
      <c r="U1606" t="s">
        <v>1234</v>
      </c>
      <c r="V1606" t="s">
        <v>1234</v>
      </c>
      <c r="W1606" t="s">
        <v>1234</v>
      </c>
    </row>
    <row r="1607" spans="1:23" x14ac:dyDescent="0.3">
      <c r="A1607" t="s">
        <v>523</v>
      </c>
      <c r="B1607" t="s">
        <v>1234</v>
      </c>
      <c r="C1607" t="s">
        <v>1234</v>
      </c>
      <c r="D1607" t="s">
        <v>1234</v>
      </c>
      <c r="E1607" t="s">
        <v>1234</v>
      </c>
      <c r="F1607" t="s">
        <v>1234</v>
      </c>
      <c r="G1607" t="s">
        <v>1234</v>
      </c>
      <c r="H1607" t="s">
        <v>1234</v>
      </c>
      <c r="I1607" t="s">
        <v>1234</v>
      </c>
      <c r="J1607" t="s">
        <v>1234</v>
      </c>
      <c r="K1607" t="s">
        <v>1234</v>
      </c>
      <c r="L1607" t="s">
        <v>1234</v>
      </c>
      <c r="O1607" t="s">
        <v>1234</v>
      </c>
      <c r="P1607" t="s">
        <v>1234</v>
      </c>
      <c r="Q1607" t="s">
        <v>1234</v>
      </c>
      <c r="R1607" t="s">
        <v>1234</v>
      </c>
      <c r="S1607" t="s">
        <v>1234</v>
      </c>
      <c r="T1607" t="s">
        <v>1234</v>
      </c>
      <c r="U1607" t="s">
        <v>1234</v>
      </c>
      <c r="V1607" t="s">
        <v>1234</v>
      </c>
      <c r="W1607" t="s">
        <v>1234</v>
      </c>
    </row>
    <row r="1608" spans="1:23" x14ac:dyDescent="0.3">
      <c r="A1608" t="s">
        <v>552</v>
      </c>
      <c r="B1608" t="s">
        <v>1234</v>
      </c>
      <c r="C1608" t="s">
        <v>1234</v>
      </c>
      <c r="D1608" t="s">
        <v>1234</v>
      </c>
      <c r="E1608" t="s">
        <v>1234</v>
      </c>
      <c r="F1608" t="s">
        <v>1234</v>
      </c>
      <c r="G1608" t="s">
        <v>1234</v>
      </c>
      <c r="H1608" t="s">
        <v>1234</v>
      </c>
      <c r="I1608" t="s">
        <v>1234</v>
      </c>
      <c r="J1608" t="s">
        <v>1234</v>
      </c>
      <c r="K1608" t="s">
        <v>1234</v>
      </c>
      <c r="L1608" t="s">
        <v>1234</v>
      </c>
      <c r="O1608" t="s">
        <v>1234</v>
      </c>
      <c r="P1608" t="s">
        <v>1234</v>
      </c>
      <c r="Q1608" t="s">
        <v>1234</v>
      </c>
      <c r="R1608" t="s">
        <v>1234</v>
      </c>
      <c r="S1608" t="s">
        <v>1234</v>
      </c>
      <c r="T1608" t="s">
        <v>1234</v>
      </c>
      <c r="U1608" t="s">
        <v>1234</v>
      </c>
      <c r="V1608" t="s">
        <v>1234</v>
      </c>
      <c r="W1608" t="s">
        <v>1234</v>
      </c>
    </row>
    <row r="1609" spans="1:23" x14ac:dyDescent="0.3">
      <c r="A1609" t="s">
        <v>572</v>
      </c>
      <c r="B1609" t="s">
        <v>1234</v>
      </c>
      <c r="C1609" t="s">
        <v>1234</v>
      </c>
      <c r="D1609" t="s">
        <v>1234</v>
      </c>
      <c r="E1609" t="s">
        <v>1234</v>
      </c>
      <c r="F1609" t="s">
        <v>1234</v>
      </c>
      <c r="G1609" t="s">
        <v>1234</v>
      </c>
      <c r="H1609" t="s">
        <v>1234</v>
      </c>
      <c r="I1609" t="s">
        <v>1234</v>
      </c>
      <c r="J1609" t="s">
        <v>1234</v>
      </c>
      <c r="K1609" t="s">
        <v>1234</v>
      </c>
      <c r="L1609" t="s">
        <v>1234</v>
      </c>
      <c r="O1609" t="s">
        <v>1234</v>
      </c>
      <c r="P1609" t="s">
        <v>1234</v>
      </c>
      <c r="Q1609" t="s">
        <v>1234</v>
      </c>
      <c r="R1609" t="s">
        <v>1234</v>
      </c>
      <c r="S1609" t="s">
        <v>1234</v>
      </c>
      <c r="T1609" t="s">
        <v>1234</v>
      </c>
      <c r="U1609" t="s">
        <v>1234</v>
      </c>
      <c r="V1609" t="s">
        <v>1234</v>
      </c>
      <c r="W1609" t="s">
        <v>1234</v>
      </c>
    </row>
    <row r="1610" spans="1:23" x14ac:dyDescent="0.3">
      <c r="A1610" t="s">
        <v>591</v>
      </c>
      <c r="B1610" t="s">
        <v>1234</v>
      </c>
      <c r="C1610" t="s">
        <v>1234</v>
      </c>
      <c r="D1610" t="s">
        <v>1234</v>
      </c>
      <c r="E1610" t="s">
        <v>1234</v>
      </c>
      <c r="F1610" t="s">
        <v>1234</v>
      </c>
      <c r="G1610" t="s">
        <v>1234</v>
      </c>
      <c r="H1610" t="s">
        <v>1234</v>
      </c>
      <c r="I1610" t="s">
        <v>1234</v>
      </c>
      <c r="J1610" t="s">
        <v>1234</v>
      </c>
      <c r="K1610" t="s">
        <v>1234</v>
      </c>
      <c r="L1610" t="s">
        <v>1234</v>
      </c>
      <c r="O1610" t="s">
        <v>1234</v>
      </c>
      <c r="P1610" t="s">
        <v>1234</v>
      </c>
      <c r="Q1610" t="s">
        <v>1234</v>
      </c>
      <c r="R1610" t="s">
        <v>1234</v>
      </c>
      <c r="S1610" t="s">
        <v>1234</v>
      </c>
      <c r="T1610" t="s">
        <v>1234</v>
      </c>
      <c r="U1610" t="s">
        <v>1234</v>
      </c>
      <c r="V1610" t="s">
        <v>1234</v>
      </c>
      <c r="W1610" t="s">
        <v>1234</v>
      </c>
    </row>
    <row r="1611" spans="1:23" x14ac:dyDescent="0.3">
      <c r="A1611" t="s">
        <v>614</v>
      </c>
      <c r="B1611" t="s">
        <v>1234</v>
      </c>
      <c r="C1611" t="s">
        <v>1234</v>
      </c>
      <c r="D1611" t="s">
        <v>1234</v>
      </c>
      <c r="E1611" t="s">
        <v>1234</v>
      </c>
      <c r="F1611" t="s">
        <v>1234</v>
      </c>
      <c r="G1611" t="s">
        <v>1234</v>
      </c>
      <c r="H1611" t="s">
        <v>1234</v>
      </c>
      <c r="I1611" t="s">
        <v>1234</v>
      </c>
      <c r="J1611" t="s">
        <v>1234</v>
      </c>
      <c r="K1611" t="s">
        <v>1234</v>
      </c>
      <c r="L1611" t="s">
        <v>1234</v>
      </c>
      <c r="O1611" t="s">
        <v>1234</v>
      </c>
      <c r="P1611" t="s">
        <v>1234</v>
      </c>
      <c r="Q1611" t="s">
        <v>1234</v>
      </c>
      <c r="R1611" t="s">
        <v>1234</v>
      </c>
      <c r="S1611" t="s">
        <v>1234</v>
      </c>
      <c r="T1611" t="s">
        <v>1234</v>
      </c>
      <c r="U1611" t="s">
        <v>1234</v>
      </c>
      <c r="V1611" t="s">
        <v>1234</v>
      </c>
      <c r="W1611" t="s">
        <v>1234</v>
      </c>
    </row>
    <row r="1612" spans="1:23" x14ac:dyDescent="0.3">
      <c r="A1612" t="s">
        <v>642</v>
      </c>
      <c r="B1612" t="s">
        <v>1234</v>
      </c>
      <c r="C1612" t="s">
        <v>1234</v>
      </c>
      <c r="D1612" t="s">
        <v>1234</v>
      </c>
      <c r="E1612" t="s">
        <v>1234</v>
      </c>
      <c r="F1612" t="s">
        <v>1234</v>
      </c>
      <c r="G1612" t="s">
        <v>1234</v>
      </c>
      <c r="H1612" t="s">
        <v>1234</v>
      </c>
      <c r="I1612" t="s">
        <v>1234</v>
      </c>
      <c r="J1612" t="s">
        <v>1234</v>
      </c>
      <c r="K1612" t="s">
        <v>1234</v>
      </c>
      <c r="L1612" t="s">
        <v>1234</v>
      </c>
      <c r="O1612" t="s">
        <v>1234</v>
      </c>
      <c r="P1612" t="s">
        <v>1234</v>
      </c>
      <c r="Q1612" t="s">
        <v>1234</v>
      </c>
      <c r="R1612" t="s">
        <v>1234</v>
      </c>
      <c r="S1612" t="s">
        <v>1234</v>
      </c>
      <c r="T1612" t="s">
        <v>1234</v>
      </c>
      <c r="U1612" t="s">
        <v>1234</v>
      </c>
      <c r="V1612" t="s">
        <v>1234</v>
      </c>
      <c r="W1612" t="s">
        <v>1234</v>
      </c>
    </row>
    <row r="1613" spans="1:23" x14ac:dyDescent="0.3">
      <c r="A1613" t="s">
        <v>666</v>
      </c>
      <c r="B1613" t="s">
        <v>1234</v>
      </c>
      <c r="C1613" t="s">
        <v>1234</v>
      </c>
      <c r="D1613" t="s">
        <v>1234</v>
      </c>
      <c r="E1613" t="s">
        <v>1234</v>
      </c>
      <c r="F1613" t="s">
        <v>1234</v>
      </c>
      <c r="G1613" t="s">
        <v>1234</v>
      </c>
      <c r="H1613" t="s">
        <v>1234</v>
      </c>
      <c r="I1613" t="s">
        <v>1234</v>
      </c>
      <c r="J1613" t="s">
        <v>1234</v>
      </c>
      <c r="K1613" t="s">
        <v>1234</v>
      </c>
      <c r="L1613" t="s">
        <v>1234</v>
      </c>
      <c r="O1613" t="s">
        <v>1234</v>
      </c>
      <c r="P1613" t="s">
        <v>1234</v>
      </c>
      <c r="Q1613" t="s">
        <v>1234</v>
      </c>
      <c r="R1613" t="s">
        <v>1234</v>
      </c>
      <c r="S1613" t="s">
        <v>1234</v>
      </c>
      <c r="T1613" t="s">
        <v>1234</v>
      </c>
      <c r="U1613" t="s">
        <v>1234</v>
      </c>
      <c r="V1613" t="s">
        <v>1234</v>
      </c>
      <c r="W1613" t="s">
        <v>1234</v>
      </c>
    </row>
    <row r="1614" spans="1:23" x14ac:dyDescent="0.3">
      <c r="A1614" t="s">
        <v>686</v>
      </c>
      <c r="B1614" t="s">
        <v>1234</v>
      </c>
      <c r="D1614" t="s">
        <v>1234</v>
      </c>
      <c r="F1614" t="s">
        <v>1234</v>
      </c>
      <c r="K1614" t="s">
        <v>1234</v>
      </c>
      <c r="O1614" t="s">
        <v>1234</v>
      </c>
      <c r="Q1614" t="s">
        <v>1234</v>
      </c>
      <c r="S1614" t="s">
        <v>1234</v>
      </c>
      <c r="T1614" t="s">
        <v>1234</v>
      </c>
      <c r="U1614" t="s">
        <v>1234</v>
      </c>
    </row>
    <row r="1615" spans="1:23" x14ac:dyDescent="0.3">
      <c r="A1615" t="s">
        <v>703</v>
      </c>
      <c r="B1615" t="s">
        <v>1234</v>
      </c>
      <c r="D1615" t="s">
        <v>1234</v>
      </c>
      <c r="F1615" t="s">
        <v>1234</v>
      </c>
      <c r="K1615" t="s">
        <v>1234</v>
      </c>
      <c r="O1615" t="s">
        <v>1234</v>
      </c>
      <c r="Q1615" t="s">
        <v>1234</v>
      </c>
      <c r="S1615" t="s">
        <v>1234</v>
      </c>
      <c r="T1615" t="s">
        <v>1234</v>
      </c>
      <c r="U1615" t="s">
        <v>1234</v>
      </c>
    </row>
    <row r="1616" spans="1:23" x14ac:dyDescent="0.3">
      <c r="A1616" t="s">
        <v>726</v>
      </c>
      <c r="B1616" t="s">
        <v>1234</v>
      </c>
      <c r="D1616" t="s">
        <v>1234</v>
      </c>
      <c r="F1616" t="s">
        <v>1234</v>
      </c>
      <c r="K1616" t="s">
        <v>1234</v>
      </c>
      <c r="O1616" t="s">
        <v>1234</v>
      </c>
      <c r="Q1616" t="s">
        <v>1234</v>
      </c>
      <c r="S1616" t="s">
        <v>1234</v>
      </c>
      <c r="T1616" t="s">
        <v>1234</v>
      </c>
      <c r="U1616" t="s">
        <v>1234</v>
      </c>
    </row>
    <row r="1617" spans="1:23" x14ac:dyDescent="0.3">
      <c r="A1617" t="s">
        <v>747</v>
      </c>
      <c r="B1617" t="s">
        <v>1234</v>
      </c>
      <c r="C1617" t="s">
        <v>2165</v>
      </c>
      <c r="D1617" t="s">
        <v>1234</v>
      </c>
      <c r="E1617" t="s">
        <v>2165</v>
      </c>
      <c r="F1617" t="s">
        <v>1234</v>
      </c>
      <c r="G1617" t="s">
        <v>2165</v>
      </c>
      <c r="H1617" t="s">
        <v>2165</v>
      </c>
      <c r="I1617" t="s">
        <v>2165</v>
      </c>
      <c r="J1617" t="s">
        <v>2165</v>
      </c>
      <c r="K1617" t="s">
        <v>1234</v>
      </c>
      <c r="L1617" t="s">
        <v>2165</v>
      </c>
      <c r="O1617" t="s">
        <v>1234</v>
      </c>
      <c r="P1617" t="s">
        <v>2165</v>
      </c>
      <c r="Q1617" t="s">
        <v>1234</v>
      </c>
      <c r="R1617" t="s">
        <v>2165</v>
      </c>
      <c r="S1617" t="s">
        <v>1234</v>
      </c>
      <c r="T1617" t="s">
        <v>1234</v>
      </c>
      <c r="U1617" t="s">
        <v>1234</v>
      </c>
      <c r="V1617" t="s">
        <v>2165</v>
      </c>
      <c r="W1617" t="s">
        <v>2165</v>
      </c>
    </row>
    <row r="1618" spans="1:23" x14ac:dyDescent="0.3">
      <c r="A1618" t="s">
        <v>772</v>
      </c>
      <c r="B1618" t="s">
        <v>1234</v>
      </c>
      <c r="D1618" t="s">
        <v>1234</v>
      </c>
      <c r="F1618" t="s">
        <v>1234</v>
      </c>
      <c r="K1618" t="s">
        <v>1234</v>
      </c>
      <c r="O1618" t="s">
        <v>1234</v>
      </c>
      <c r="Q1618" t="s">
        <v>1234</v>
      </c>
      <c r="S1618" t="s">
        <v>1234</v>
      </c>
      <c r="T1618" t="s">
        <v>1234</v>
      </c>
      <c r="U1618" t="s">
        <v>1234</v>
      </c>
    </row>
    <row r="1619" spans="1:23" x14ac:dyDescent="0.3">
      <c r="A1619" t="s">
        <v>791</v>
      </c>
      <c r="B1619" t="s">
        <v>1234</v>
      </c>
      <c r="D1619" t="s">
        <v>1234</v>
      </c>
      <c r="F1619" t="s">
        <v>1234</v>
      </c>
      <c r="K1619" t="s">
        <v>1234</v>
      </c>
      <c r="O1619" t="s">
        <v>1234</v>
      </c>
      <c r="Q1619" t="s">
        <v>1234</v>
      </c>
      <c r="S1619" t="s">
        <v>1234</v>
      </c>
      <c r="T1619" t="s">
        <v>1234</v>
      </c>
      <c r="U1619" t="s">
        <v>1234</v>
      </c>
    </row>
    <row r="1620" spans="1:23" x14ac:dyDescent="0.3">
      <c r="A1620" t="s">
        <v>812</v>
      </c>
      <c r="B1620" t="s">
        <v>1234</v>
      </c>
      <c r="D1620" t="s">
        <v>1234</v>
      </c>
      <c r="F1620" t="s">
        <v>1234</v>
      </c>
      <c r="K1620" t="s">
        <v>1234</v>
      </c>
      <c r="O1620" t="s">
        <v>1234</v>
      </c>
      <c r="Q1620" t="s">
        <v>1234</v>
      </c>
      <c r="S1620" t="s">
        <v>1234</v>
      </c>
      <c r="T1620" t="s">
        <v>1234</v>
      </c>
      <c r="U1620" t="s">
        <v>1234</v>
      </c>
    </row>
    <row r="1621" spans="1:23" x14ac:dyDescent="0.3">
      <c r="A1621" t="s">
        <v>835</v>
      </c>
      <c r="B1621" t="s">
        <v>1234</v>
      </c>
      <c r="D1621" t="s">
        <v>1234</v>
      </c>
      <c r="F1621" t="s">
        <v>1234</v>
      </c>
      <c r="K1621" t="s">
        <v>1234</v>
      </c>
      <c r="O1621" t="s">
        <v>1234</v>
      </c>
      <c r="Q1621" t="s">
        <v>1234</v>
      </c>
      <c r="S1621" t="s">
        <v>1234</v>
      </c>
      <c r="T1621" t="s">
        <v>1234</v>
      </c>
      <c r="U1621" t="s">
        <v>1234</v>
      </c>
    </row>
    <row r="1622" spans="1:23" x14ac:dyDescent="0.3">
      <c r="A1622" t="s">
        <v>852</v>
      </c>
      <c r="B1622" t="s">
        <v>1234</v>
      </c>
      <c r="D1622" t="s">
        <v>1234</v>
      </c>
      <c r="F1622" t="s">
        <v>1234</v>
      </c>
      <c r="K1622" t="s">
        <v>1234</v>
      </c>
      <c r="O1622" t="s">
        <v>1234</v>
      </c>
      <c r="Q1622" t="s">
        <v>1234</v>
      </c>
      <c r="S1622" t="s">
        <v>1234</v>
      </c>
      <c r="T1622" t="s">
        <v>1234</v>
      </c>
      <c r="U1622" t="s">
        <v>1234</v>
      </c>
    </row>
    <row r="1623" spans="1:23" x14ac:dyDescent="0.3">
      <c r="A1623" t="s">
        <v>864</v>
      </c>
      <c r="B1623" t="s">
        <v>1234</v>
      </c>
      <c r="D1623" t="s">
        <v>1234</v>
      </c>
      <c r="F1623" t="s">
        <v>1234</v>
      </c>
      <c r="K1623" t="s">
        <v>1234</v>
      </c>
      <c r="O1623" t="s">
        <v>1234</v>
      </c>
      <c r="Q1623" t="s">
        <v>1234</v>
      </c>
      <c r="S1623" t="s">
        <v>1234</v>
      </c>
      <c r="T1623" t="s">
        <v>1234</v>
      </c>
      <c r="U1623" t="s">
        <v>1234</v>
      </c>
    </row>
    <row r="1624" spans="1:23" x14ac:dyDescent="0.3">
      <c r="A1624" t="s">
        <v>883</v>
      </c>
      <c r="B1624" t="s">
        <v>1234</v>
      </c>
      <c r="D1624" t="s">
        <v>1234</v>
      </c>
      <c r="F1624" t="s">
        <v>1234</v>
      </c>
      <c r="K1624" t="s">
        <v>1234</v>
      </c>
      <c r="O1624" t="s">
        <v>1234</v>
      </c>
      <c r="Q1624" t="s">
        <v>1234</v>
      </c>
      <c r="S1624" t="s">
        <v>1234</v>
      </c>
      <c r="T1624" t="s">
        <v>1234</v>
      </c>
      <c r="U1624" t="s">
        <v>1234</v>
      </c>
    </row>
    <row r="1625" spans="1:23" x14ac:dyDescent="0.3">
      <c r="A1625" t="s">
        <v>902</v>
      </c>
      <c r="B1625" t="s">
        <v>1234</v>
      </c>
      <c r="D1625" t="s">
        <v>1234</v>
      </c>
      <c r="F1625" t="s">
        <v>1234</v>
      </c>
      <c r="K1625" t="s">
        <v>1234</v>
      </c>
      <c r="O1625" t="s">
        <v>1234</v>
      </c>
      <c r="Q1625" t="s">
        <v>1234</v>
      </c>
      <c r="S1625" t="s">
        <v>1234</v>
      </c>
      <c r="T1625" t="s">
        <v>1234</v>
      </c>
      <c r="U1625" t="s">
        <v>1234</v>
      </c>
    </row>
    <row r="1626" spans="1:23" x14ac:dyDescent="0.3">
      <c r="A1626" t="s">
        <v>921</v>
      </c>
      <c r="B1626" t="s">
        <v>1234</v>
      </c>
      <c r="D1626" t="s">
        <v>1234</v>
      </c>
      <c r="F1626" t="s">
        <v>1234</v>
      </c>
      <c r="K1626" t="s">
        <v>1234</v>
      </c>
      <c r="O1626" t="s">
        <v>1234</v>
      </c>
      <c r="Q1626" t="s">
        <v>1234</v>
      </c>
      <c r="S1626" t="s">
        <v>1234</v>
      </c>
      <c r="T1626" t="s">
        <v>1234</v>
      </c>
      <c r="U1626" t="s">
        <v>1234</v>
      </c>
    </row>
    <row r="1627" spans="1:23" x14ac:dyDescent="0.3">
      <c r="A1627" t="s">
        <v>941</v>
      </c>
      <c r="B1627" t="s">
        <v>1234</v>
      </c>
      <c r="D1627" t="s">
        <v>1234</v>
      </c>
      <c r="F1627" t="s">
        <v>1234</v>
      </c>
      <c r="K1627" t="s">
        <v>1234</v>
      </c>
      <c r="O1627" t="s">
        <v>1234</v>
      </c>
      <c r="Q1627" t="s">
        <v>1234</v>
      </c>
      <c r="S1627" t="s">
        <v>1234</v>
      </c>
      <c r="T1627" t="s">
        <v>1234</v>
      </c>
      <c r="U1627" t="s">
        <v>1234</v>
      </c>
    </row>
    <row r="1628" spans="1:23" x14ac:dyDescent="0.3">
      <c r="A1628" t="s">
        <v>958</v>
      </c>
      <c r="B1628" t="s">
        <v>1234</v>
      </c>
      <c r="D1628" t="s">
        <v>1234</v>
      </c>
      <c r="F1628" t="s">
        <v>1234</v>
      </c>
      <c r="K1628" t="s">
        <v>1234</v>
      </c>
      <c r="O1628" t="s">
        <v>1234</v>
      </c>
      <c r="Q1628" t="s">
        <v>1234</v>
      </c>
      <c r="S1628" t="s">
        <v>1234</v>
      </c>
      <c r="T1628" t="s">
        <v>1234</v>
      </c>
      <c r="U1628" t="s">
        <v>1234</v>
      </c>
    </row>
    <row r="1629" spans="1:23" x14ac:dyDescent="0.3">
      <c r="A1629" t="s">
        <v>972</v>
      </c>
      <c r="B1629" t="s">
        <v>1234</v>
      </c>
      <c r="D1629" t="s">
        <v>1234</v>
      </c>
      <c r="F1629" t="s">
        <v>1234</v>
      </c>
      <c r="K1629" t="s">
        <v>1234</v>
      </c>
      <c r="O1629" t="s">
        <v>1234</v>
      </c>
      <c r="Q1629" t="s">
        <v>1234</v>
      </c>
      <c r="S1629" t="s">
        <v>1234</v>
      </c>
      <c r="T1629" t="s">
        <v>1234</v>
      </c>
      <c r="U1629" t="s">
        <v>1234</v>
      </c>
    </row>
    <row r="1630" spans="1:23" x14ac:dyDescent="0.3">
      <c r="A1630" t="s">
        <v>987</v>
      </c>
      <c r="B1630" t="s">
        <v>1234</v>
      </c>
      <c r="D1630" t="s">
        <v>1234</v>
      </c>
      <c r="F1630" t="s">
        <v>1234</v>
      </c>
      <c r="K1630" t="s">
        <v>1234</v>
      </c>
      <c r="O1630" t="s">
        <v>1234</v>
      </c>
      <c r="Q1630" t="s">
        <v>1234</v>
      </c>
      <c r="S1630" t="s">
        <v>1234</v>
      </c>
      <c r="T1630" t="s">
        <v>1234</v>
      </c>
      <c r="U1630" t="s">
        <v>1234</v>
      </c>
    </row>
    <row r="1631" spans="1:23" x14ac:dyDescent="0.3">
      <c r="A1631" t="s">
        <v>1001</v>
      </c>
      <c r="B1631" t="s">
        <v>1234</v>
      </c>
      <c r="D1631" t="s">
        <v>1234</v>
      </c>
      <c r="F1631" t="s">
        <v>1234</v>
      </c>
      <c r="K1631" t="s">
        <v>1234</v>
      </c>
      <c r="O1631" t="s">
        <v>1234</v>
      </c>
      <c r="Q1631" t="s">
        <v>1234</v>
      </c>
      <c r="S1631" t="s">
        <v>1234</v>
      </c>
      <c r="T1631" t="s">
        <v>1234</v>
      </c>
      <c r="U1631" t="s">
        <v>1234</v>
      </c>
    </row>
    <row r="1632" spans="1:23" x14ac:dyDescent="0.3">
      <c r="A1632" t="s">
        <v>1028</v>
      </c>
      <c r="B1632" t="s">
        <v>1234</v>
      </c>
      <c r="D1632" t="s">
        <v>1234</v>
      </c>
      <c r="F1632" t="s">
        <v>1234</v>
      </c>
      <c r="K1632" t="s">
        <v>1234</v>
      </c>
      <c r="O1632" t="s">
        <v>1234</v>
      </c>
      <c r="Q1632" t="s">
        <v>1234</v>
      </c>
      <c r="S1632" t="s">
        <v>1234</v>
      </c>
      <c r="T1632" t="s">
        <v>1234</v>
      </c>
      <c r="U1632" t="s">
        <v>1234</v>
      </c>
    </row>
    <row r="1633" spans="1:23" x14ac:dyDescent="0.3">
      <c r="A1633" t="s">
        <v>1046</v>
      </c>
      <c r="B1633" t="s">
        <v>1234</v>
      </c>
      <c r="D1633" t="s">
        <v>1234</v>
      </c>
      <c r="F1633" t="s">
        <v>1234</v>
      </c>
      <c r="K1633" t="s">
        <v>1234</v>
      </c>
      <c r="O1633" t="s">
        <v>1234</v>
      </c>
      <c r="Q1633" t="s">
        <v>1234</v>
      </c>
      <c r="S1633" t="s">
        <v>1234</v>
      </c>
      <c r="T1633" t="s">
        <v>1234</v>
      </c>
      <c r="U1633" t="s">
        <v>1234</v>
      </c>
    </row>
    <row r="1634" spans="1:23" x14ac:dyDescent="0.3">
      <c r="A1634" t="s">
        <v>1064</v>
      </c>
      <c r="B1634" t="s">
        <v>1234</v>
      </c>
      <c r="D1634" t="s">
        <v>1234</v>
      </c>
      <c r="F1634" t="s">
        <v>1234</v>
      </c>
      <c r="K1634" t="s">
        <v>1234</v>
      </c>
      <c r="O1634" t="s">
        <v>1234</v>
      </c>
      <c r="Q1634" t="s">
        <v>1234</v>
      </c>
      <c r="S1634" t="s">
        <v>1234</v>
      </c>
      <c r="T1634" t="s">
        <v>1234</v>
      </c>
      <c r="U1634" t="s">
        <v>1234</v>
      </c>
    </row>
    <row r="1635" spans="1:23" x14ac:dyDescent="0.3">
      <c r="A1635" t="s">
        <v>1079</v>
      </c>
      <c r="B1635" t="s">
        <v>1234</v>
      </c>
      <c r="D1635" t="s">
        <v>1234</v>
      </c>
      <c r="F1635" t="s">
        <v>1234</v>
      </c>
      <c r="K1635" t="s">
        <v>1234</v>
      </c>
      <c r="O1635" t="s">
        <v>1234</v>
      </c>
      <c r="Q1635" t="s">
        <v>1234</v>
      </c>
      <c r="S1635" t="s">
        <v>1234</v>
      </c>
      <c r="T1635" t="s">
        <v>1234</v>
      </c>
      <c r="U1635" t="s">
        <v>1234</v>
      </c>
    </row>
    <row r="1636" spans="1:23" x14ac:dyDescent="0.3">
      <c r="A1636" t="s">
        <v>1095</v>
      </c>
      <c r="B1636" t="s">
        <v>1234</v>
      </c>
      <c r="D1636" t="s">
        <v>1234</v>
      </c>
      <c r="F1636" t="s">
        <v>1234</v>
      </c>
      <c r="K1636" t="s">
        <v>1234</v>
      </c>
      <c r="O1636" t="s">
        <v>1234</v>
      </c>
      <c r="Q1636" t="s">
        <v>1234</v>
      </c>
      <c r="S1636" t="s">
        <v>1234</v>
      </c>
      <c r="T1636" t="s">
        <v>1234</v>
      </c>
      <c r="U1636" t="s">
        <v>1234</v>
      </c>
    </row>
    <row r="1637" spans="1:23" x14ac:dyDescent="0.3">
      <c r="A1637" t="s">
        <v>1110</v>
      </c>
      <c r="B1637" t="s">
        <v>1234</v>
      </c>
      <c r="D1637" t="s">
        <v>1234</v>
      </c>
      <c r="F1637" t="s">
        <v>1234</v>
      </c>
      <c r="K1637" t="s">
        <v>1234</v>
      </c>
      <c r="O1637" t="s">
        <v>1234</v>
      </c>
      <c r="Q1637" t="s">
        <v>1234</v>
      </c>
      <c r="S1637" t="s">
        <v>1234</v>
      </c>
      <c r="T1637" t="s">
        <v>1234</v>
      </c>
      <c r="U1637" t="s">
        <v>1234</v>
      </c>
    </row>
    <row r="1638" spans="1:23" x14ac:dyDescent="0.3">
      <c r="A1638" t="s">
        <v>1127</v>
      </c>
      <c r="B1638" t="s">
        <v>1234</v>
      </c>
      <c r="D1638" t="s">
        <v>1234</v>
      </c>
      <c r="F1638" t="s">
        <v>1234</v>
      </c>
      <c r="K1638" t="s">
        <v>1234</v>
      </c>
      <c r="O1638" t="s">
        <v>1234</v>
      </c>
      <c r="Q1638" t="s">
        <v>1234</v>
      </c>
      <c r="S1638" t="s">
        <v>1234</v>
      </c>
      <c r="T1638" t="s">
        <v>1234</v>
      </c>
      <c r="U1638" t="s">
        <v>1234</v>
      </c>
    </row>
    <row r="1639" spans="1:23" x14ac:dyDescent="0.3">
      <c r="A1639" t="s">
        <v>1144</v>
      </c>
      <c r="B1639" t="s">
        <v>1234</v>
      </c>
      <c r="D1639" t="s">
        <v>1234</v>
      </c>
      <c r="F1639" t="s">
        <v>1234</v>
      </c>
      <c r="K1639" t="s">
        <v>1234</v>
      </c>
      <c r="O1639" t="s">
        <v>1234</v>
      </c>
      <c r="Q1639" t="s">
        <v>1234</v>
      </c>
      <c r="S1639" t="s">
        <v>1234</v>
      </c>
      <c r="T1639" t="s">
        <v>1234</v>
      </c>
      <c r="U1639" t="s">
        <v>1234</v>
      </c>
    </row>
    <row r="1640" spans="1:23" x14ac:dyDescent="0.3">
      <c r="A1640" t="s">
        <v>1166</v>
      </c>
      <c r="B1640" t="s">
        <v>1234</v>
      </c>
      <c r="D1640" t="s">
        <v>1234</v>
      </c>
      <c r="F1640" t="s">
        <v>1234</v>
      </c>
      <c r="K1640" t="s">
        <v>1234</v>
      </c>
      <c r="O1640" t="s">
        <v>1234</v>
      </c>
      <c r="Q1640" t="s">
        <v>1234</v>
      </c>
      <c r="S1640" t="s">
        <v>1234</v>
      </c>
      <c r="T1640" t="s">
        <v>1234</v>
      </c>
      <c r="U1640" t="s">
        <v>1234</v>
      </c>
    </row>
    <row r="1641" spans="1:23" s="4" customFormat="1" x14ac:dyDescent="0.3">
      <c r="A1641" s="4" t="s">
        <v>1203</v>
      </c>
      <c r="B1641" s="4" t="s">
        <v>1234</v>
      </c>
      <c r="D1641" s="4" t="s">
        <v>1234</v>
      </c>
      <c r="F1641" s="4" t="s">
        <v>1234</v>
      </c>
      <c r="K1641" s="4" t="s">
        <v>1234</v>
      </c>
      <c r="M1641" s="4" t="s">
        <v>1234</v>
      </c>
      <c r="O1641" s="4" t="s">
        <v>1234</v>
      </c>
      <c r="S1641" s="4" t="s">
        <v>1234</v>
      </c>
      <c r="T1641" s="4" t="s">
        <v>1234</v>
      </c>
      <c r="U1641" s="4" t="s">
        <v>1234</v>
      </c>
    </row>
    <row r="1642" spans="1:23" s="4" customFormat="1" x14ac:dyDescent="0.3">
      <c r="A1642" s="4" t="s">
        <v>2300</v>
      </c>
      <c r="B1642" s="4" t="s">
        <v>1234</v>
      </c>
      <c r="D1642" s="4" t="s">
        <v>1234</v>
      </c>
      <c r="F1642" s="4" t="s">
        <v>1234</v>
      </c>
      <c r="K1642" s="4" t="s">
        <v>1234</v>
      </c>
      <c r="M1642" s="4" t="s">
        <v>1234</v>
      </c>
      <c r="O1642" s="4" t="s">
        <v>1234</v>
      </c>
      <c r="S1642" s="4" t="s">
        <v>1234</v>
      </c>
      <c r="T1642" s="4" t="s">
        <v>1234</v>
      </c>
      <c r="U1642" s="4" t="s">
        <v>1234</v>
      </c>
    </row>
    <row r="1643" spans="1:23" s="4" customFormat="1" x14ac:dyDescent="0.3">
      <c r="A1643" s="4" t="s">
        <v>2303</v>
      </c>
      <c r="B1643" s="4" t="s">
        <v>1234</v>
      </c>
      <c r="C1643" s="4" t="s">
        <v>1234</v>
      </c>
      <c r="D1643" s="4" t="s">
        <v>1234</v>
      </c>
      <c r="E1643" s="4" t="s">
        <v>1234</v>
      </c>
      <c r="F1643" s="4" t="s">
        <v>1234</v>
      </c>
      <c r="G1643" s="4" t="s">
        <v>1234</v>
      </c>
      <c r="H1643" s="4" t="s">
        <v>1234</v>
      </c>
      <c r="I1643" s="4" t="s">
        <v>1234</v>
      </c>
      <c r="J1643" s="4" t="s">
        <v>1234</v>
      </c>
      <c r="K1643" s="4" t="s">
        <v>1234</v>
      </c>
      <c r="L1643" s="4" t="s">
        <v>1234</v>
      </c>
      <c r="M1643" s="4" t="s">
        <v>1234</v>
      </c>
      <c r="N1643" s="4" t="s">
        <v>1234</v>
      </c>
      <c r="O1643" s="4" t="s">
        <v>1234</v>
      </c>
      <c r="Q1643" s="4" t="s">
        <v>1234</v>
      </c>
      <c r="R1643" s="4" t="s">
        <v>1234</v>
      </c>
      <c r="T1643" s="4" t="s">
        <v>1234</v>
      </c>
      <c r="U1643" s="4" t="s">
        <v>1234</v>
      </c>
      <c r="V1643" s="4" t="s">
        <v>1234</v>
      </c>
      <c r="W1643" s="4" t="s">
        <v>1234</v>
      </c>
    </row>
    <row r="1644" spans="1:23" s="4" customFormat="1" x14ac:dyDescent="0.3">
      <c r="A1644" s="4" t="s">
        <v>2306</v>
      </c>
      <c r="B1644" s="4" t="s">
        <v>1234</v>
      </c>
      <c r="C1644" s="4" t="s">
        <v>1234</v>
      </c>
      <c r="D1644" s="4" t="s">
        <v>1234</v>
      </c>
      <c r="E1644" s="4" t="s">
        <v>1234</v>
      </c>
      <c r="F1644" s="4" t="s">
        <v>1234</v>
      </c>
      <c r="G1644" s="4" t="s">
        <v>1234</v>
      </c>
      <c r="H1644" s="4" t="s">
        <v>1234</v>
      </c>
      <c r="I1644" s="4" t="s">
        <v>1234</v>
      </c>
      <c r="J1644" s="4" t="s">
        <v>1234</v>
      </c>
      <c r="K1644" s="4" t="s">
        <v>1234</v>
      </c>
      <c r="L1644" s="4" t="s">
        <v>1234</v>
      </c>
      <c r="M1644" s="4" t="s">
        <v>1234</v>
      </c>
      <c r="N1644" s="4" t="s">
        <v>1234</v>
      </c>
      <c r="O1644" s="4" t="s">
        <v>1234</v>
      </c>
      <c r="Q1644" s="4" t="s">
        <v>1234</v>
      </c>
      <c r="R1644" s="4" t="s">
        <v>1234</v>
      </c>
      <c r="T1644" s="4" t="s">
        <v>1234</v>
      </c>
      <c r="U1644" s="4" t="s">
        <v>1234</v>
      </c>
      <c r="V1644" s="4" t="s">
        <v>1234</v>
      </c>
      <c r="W1644" s="4" t="s">
        <v>1234</v>
      </c>
    </row>
    <row r="1645" spans="1:23" s="4" customFormat="1" x14ac:dyDescent="0.3">
      <c r="A1645" s="4" t="s">
        <v>2262</v>
      </c>
      <c r="B1645" s="4" t="s">
        <v>1234</v>
      </c>
      <c r="C1645" s="4" t="s">
        <v>1234</v>
      </c>
      <c r="D1645" s="4" t="s">
        <v>1234</v>
      </c>
      <c r="E1645" s="4" t="s">
        <v>1234</v>
      </c>
      <c r="F1645" s="4" t="s">
        <v>1234</v>
      </c>
      <c r="G1645" s="4" t="s">
        <v>1234</v>
      </c>
      <c r="H1645" s="4" t="s">
        <v>1234</v>
      </c>
      <c r="I1645" s="4" t="s">
        <v>1234</v>
      </c>
      <c r="J1645" s="4" t="s">
        <v>1234</v>
      </c>
      <c r="K1645" s="4" t="s">
        <v>1234</v>
      </c>
      <c r="L1645" s="4" t="s">
        <v>1234</v>
      </c>
      <c r="M1645" s="4" t="s">
        <v>1234</v>
      </c>
      <c r="N1645" s="4" t="s">
        <v>1234</v>
      </c>
      <c r="O1645" s="4" t="s">
        <v>1234</v>
      </c>
      <c r="Q1645" s="4" t="s">
        <v>1234</v>
      </c>
      <c r="R1645" s="4" t="s">
        <v>1234</v>
      </c>
      <c r="T1645" s="4" t="s">
        <v>1234</v>
      </c>
      <c r="U1645" s="4" t="s">
        <v>1234</v>
      </c>
      <c r="V1645" s="4" t="s">
        <v>1234</v>
      </c>
      <c r="W1645" s="4" t="s">
        <v>1234</v>
      </c>
    </row>
    <row r="1646" spans="1:23" s="4" customFormat="1" x14ac:dyDescent="0.3">
      <c r="A1646" s="4" t="s">
        <v>2277</v>
      </c>
      <c r="B1646" s="4" t="s">
        <v>1234</v>
      </c>
      <c r="C1646" s="4" t="s">
        <v>1234</v>
      </c>
      <c r="D1646" s="4" t="s">
        <v>1234</v>
      </c>
      <c r="E1646" s="4" t="s">
        <v>1234</v>
      </c>
      <c r="F1646" s="4" t="s">
        <v>1234</v>
      </c>
      <c r="G1646" s="4" t="s">
        <v>1234</v>
      </c>
      <c r="H1646" s="4" t="s">
        <v>1234</v>
      </c>
      <c r="I1646" s="4" t="s">
        <v>1234</v>
      </c>
      <c r="J1646" s="4" t="s">
        <v>1234</v>
      </c>
      <c r="K1646" s="4" t="s">
        <v>1234</v>
      </c>
      <c r="L1646" s="4" t="s">
        <v>1234</v>
      </c>
      <c r="M1646" s="4" t="s">
        <v>1234</v>
      </c>
      <c r="N1646" s="4" t="s">
        <v>1234</v>
      </c>
      <c r="O1646" s="4" t="s">
        <v>1234</v>
      </c>
      <c r="Q1646" s="4" t="s">
        <v>1234</v>
      </c>
      <c r="R1646" s="4" t="s">
        <v>1234</v>
      </c>
      <c r="T1646" s="4" t="s">
        <v>1234</v>
      </c>
      <c r="U1646" s="4" t="s">
        <v>1234</v>
      </c>
      <c r="V1646" s="4" t="s">
        <v>1234</v>
      </c>
      <c r="W1646" s="4" t="s">
        <v>1234</v>
      </c>
    </row>
    <row r="1647" spans="1:23" s="4" customFormat="1" x14ac:dyDescent="0.3"/>
    <row r="1648" spans="1:23" s="4" customFormat="1" x14ac:dyDescent="0.3"/>
    <row r="1650" spans="1:16" x14ac:dyDescent="0.3">
      <c r="A1650" s="23" t="s">
        <v>2219</v>
      </c>
      <c r="B1650" s="24"/>
      <c r="C1650" s="24"/>
      <c r="D1650" s="24"/>
      <c r="E1650" s="24"/>
    </row>
    <row r="1651" spans="1:16" x14ac:dyDescent="0.3">
      <c r="B1651" t="s">
        <v>2139</v>
      </c>
      <c r="C1651" t="s">
        <v>2141</v>
      </c>
      <c r="D1651" t="s">
        <v>2143</v>
      </c>
      <c r="E1651" t="s">
        <v>10</v>
      </c>
      <c r="F1651" t="s">
        <v>10</v>
      </c>
      <c r="G1651" t="s">
        <v>10</v>
      </c>
      <c r="H1651" t="s">
        <v>2145</v>
      </c>
      <c r="I1651" t="s">
        <v>2147</v>
      </c>
      <c r="J1651" t="s">
        <v>2149</v>
      </c>
      <c r="K1651" t="s">
        <v>2151</v>
      </c>
      <c r="L1651" t="s">
        <v>2152</v>
      </c>
      <c r="O1651" t="s">
        <v>15</v>
      </c>
      <c r="P1651" t="s">
        <v>15</v>
      </c>
    </row>
    <row r="1652" spans="1:16" x14ac:dyDescent="0.3">
      <c r="B1652" t="s">
        <v>2153</v>
      </c>
      <c r="C1652" t="s">
        <v>2153</v>
      </c>
      <c r="D1652" t="s">
        <v>2061</v>
      </c>
      <c r="E1652" t="s">
        <v>19</v>
      </c>
      <c r="F1652" t="s">
        <v>19</v>
      </c>
      <c r="G1652" t="s">
        <v>19</v>
      </c>
      <c r="H1652" t="s">
        <v>2153</v>
      </c>
      <c r="I1652" t="s">
        <v>2153</v>
      </c>
      <c r="J1652" t="s">
        <v>2061</v>
      </c>
      <c r="K1652" t="s">
        <v>2061</v>
      </c>
      <c r="L1652" t="s">
        <v>2061</v>
      </c>
      <c r="O1652" t="s">
        <v>2155</v>
      </c>
      <c r="P1652" t="s">
        <v>2155</v>
      </c>
    </row>
    <row r="1653" spans="1:16" x14ac:dyDescent="0.3">
      <c r="A1653" t="s">
        <v>39</v>
      </c>
      <c r="B1653" t="s">
        <v>2156</v>
      </c>
      <c r="C1653" t="s">
        <v>2156</v>
      </c>
      <c r="D1653" t="s">
        <v>2156</v>
      </c>
      <c r="E1653" t="s">
        <v>2157</v>
      </c>
      <c r="F1653" t="s">
        <v>45</v>
      </c>
      <c r="G1653" t="s">
        <v>41</v>
      </c>
      <c r="H1653" t="s">
        <v>2156</v>
      </c>
      <c r="I1653" t="s">
        <v>2156</v>
      </c>
      <c r="J1653" t="s">
        <v>2156</v>
      </c>
      <c r="K1653" t="s">
        <v>2156</v>
      </c>
      <c r="L1653" t="s">
        <v>2156</v>
      </c>
      <c r="O1653" t="s">
        <v>2157</v>
      </c>
      <c r="P1653" t="s">
        <v>45</v>
      </c>
    </row>
    <row r="1654" spans="1:16" x14ac:dyDescent="0.3">
      <c r="A1654" t="s">
        <v>666</v>
      </c>
      <c r="B1654" t="s">
        <v>2165</v>
      </c>
      <c r="C1654" t="s">
        <v>2165</v>
      </c>
      <c r="D1654" t="s">
        <v>2165</v>
      </c>
      <c r="E1654" t="s">
        <v>2165</v>
      </c>
      <c r="F1654" t="s">
        <v>2165</v>
      </c>
      <c r="G1654" t="s">
        <v>2165</v>
      </c>
      <c r="H1654" t="s">
        <v>2165</v>
      </c>
      <c r="I1654" t="s">
        <v>2165</v>
      </c>
      <c r="J1654" t="s">
        <v>2165</v>
      </c>
      <c r="K1654" t="s">
        <v>2165</v>
      </c>
      <c r="L1654" t="s">
        <v>2165</v>
      </c>
      <c r="O1654" t="s">
        <v>2165</v>
      </c>
      <c r="P1654" t="s">
        <v>2165</v>
      </c>
    </row>
    <row r="1655" spans="1:16" x14ac:dyDescent="0.3">
      <c r="A1655" t="s">
        <v>718</v>
      </c>
      <c r="B1655" t="s">
        <v>1234</v>
      </c>
      <c r="C1655" t="s">
        <v>1234</v>
      </c>
      <c r="D1655" t="s">
        <v>1234</v>
      </c>
      <c r="E1655" t="s">
        <v>1234</v>
      </c>
      <c r="F1655" t="s">
        <v>1234</v>
      </c>
      <c r="G1655" t="s">
        <v>1234</v>
      </c>
      <c r="H1655" t="s">
        <v>1234</v>
      </c>
      <c r="I1655" t="s">
        <v>1234</v>
      </c>
      <c r="J1655" t="s">
        <v>1234</v>
      </c>
      <c r="K1655" t="s">
        <v>1234</v>
      </c>
      <c r="L1655" t="s">
        <v>1234</v>
      </c>
      <c r="O1655" t="s">
        <v>1234</v>
      </c>
      <c r="P1655" t="s">
        <v>1234</v>
      </c>
    </row>
    <row r="1656" spans="1:16" x14ac:dyDescent="0.3">
      <c r="A1656" t="s">
        <v>762</v>
      </c>
      <c r="B1656" t="s">
        <v>1234</v>
      </c>
      <c r="C1656" t="s">
        <v>1234</v>
      </c>
      <c r="D1656" t="s">
        <v>1234</v>
      </c>
      <c r="E1656" t="s">
        <v>1234</v>
      </c>
      <c r="F1656" t="s">
        <v>1234</v>
      </c>
      <c r="G1656" t="s">
        <v>1234</v>
      </c>
      <c r="H1656" t="s">
        <v>1234</v>
      </c>
      <c r="I1656" t="s">
        <v>1234</v>
      </c>
      <c r="J1656" t="s">
        <v>1234</v>
      </c>
      <c r="K1656" t="s">
        <v>1234</v>
      </c>
      <c r="L1656" t="s">
        <v>1234</v>
      </c>
      <c r="O1656" t="s">
        <v>1234</v>
      </c>
      <c r="P1656" t="s">
        <v>1234</v>
      </c>
    </row>
    <row r="1657" spans="1:16" x14ac:dyDescent="0.3">
      <c r="A1657" t="s">
        <v>807</v>
      </c>
      <c r="B1657" t="s">
        <v>1234</v>
      </c>
      <c r="C1657" t="s">
        <v>1234</v>
      </c>
      <c r="D1657" t="s">
        <v>1234</v>
      </c>
      <c r="E1657" t="s">
        <v>1234</v>
      </c>
      <c r="F1657" t="s">
        <v>1234</v>
      </c>
      <c r="G1657" t="s">
        <v>1234</v>
      </c>
      <c r="H1657" t="s">
        <v>1234</v>
      </c>
      <c r="I1657" t="s">
        <v>1234</v>
      </c>
      <c r="J1657" t="s">
        <v>1234</v>
      </c>
      <c r="K1657" t="s">
        <v>1234</v>
      </c>
      <c r="L1657" t="s">
        <v>1234</v>
      </c>
      <c r="O1657" t="s">
        <v>1234</v>
      </c>
      <c r="P1657" t="s">
        <v>1234</v>
      </c>
    </row>
    <row r="1658" spans="1:16" x14ac:dyDescent="0.3">
      <c r="A1658" t="s">
        <v>846</v>
      </c>
      <c r="B1658" t="s">
        <v>1234</v>
      </c>
      <c r="C1658" t="s">
        <v>1234</v>
      </c>
      <c r="D1658" t="s">
        <v>1234</v>
      </c>
      <c r="E1658" t="s">
        <v>1234</v>
      </c>
      <c r="F1658" t="s">
        <v>1234</v>
      </c>
      <c r="G1658" t="s">
        <v>1234</v>
      </c>
      <c r="H1658" t="s">
        <v>1234</v>
      </c>
      <c r="I1658" t="s">
        <v>1234</v>
      </c>
      <c r="J1658" t="s">
        <v>1234</v>
      </c>
      <c r="K1658" t="s">
        <v>1234</v>
      </c>
      <c r="L1658" t="s">
        <v>1234</v>
      </c>
      <c r="O1658" t="s">
        <v>1234</v>
      </c>
      <c r="P1658" t="s">
        <v>1234</v>
      </c>
    </row>
    <row r="1659" spans="1:16" x14ac:dyDescent="0.3">
      <c r="A1659" t="s">
        <v>875</v>
      </c>
      <c r="B1659" t="s">
        <v>1234</v>
      </c>
      <c r="C1659" t="s">
        <v>1234</v>
      </c>
      <c r="D1659" t="s">
        <v>1234</v>
      </c>
      <c r="E1659" t="s">
        <v>1234</v>
      </c>
      <c r="F1659" t="s">
        <v>1234</v>
      </c>
      <c r="G1659" t="s">
        <v>1234</v>
      </c>
      <c r="H1659" t="s">
        <v>1234</v>
      </c>
      <c r="I1659" t="s">
        <v>1234</v>
      </c>
      <c r="J1659" t="s">
        <v>1234</v>
      </c>
      <c r="K1659" t="s">
        <v>1234</v>
      </c>
      <c r="L1659" t="s">
        <v>1234</v>
      </c>
      <c r="O1659" t="s">
        <v>1234</v>
      </c>
      <c r="P1659" t="s">
        <v>1234</v>
      </c>
    </row>
    <row r="1660" spans="1:16" x14ac:dyDescent="0.3">
      <c r="A1660" t="s">
        <v>915</v>
      </c>
      <c r="B1660" t="s">
        <v>1234</v>
      </c>
      <c r="C1660" t="s">
        <v>1234</v>
      </c>
      <c r="D1660" t="s">
        <v>1234</v>
      </c>
      <c r="E1660" t="s">
        <v>1234</v>
      </c>
      <c r="F1660" t="s">
        <v>1234</v>
      </c>
      <c r="G1660" t="s">
        <v>1234</v>
      </c>
      <c r="H1660" t="s">
        <v>1234</v>
      </c>
      <c r="I1660" t="s">
        <v>1234</v>
      </c>
      <c r="J1660" t="s">
        <v>1234</v>
      </c>
      <c r="K1660" t="s">
        <v>1234</v>
      </c>
      <c r="L1660" t="s">
        <v>1234</v>
      </c>
      <c r="O1660" t="s">
        <v>1234</v>
      </c>
      <c r="P1660" t="s">
        <v>1234</v>
      </c>
    </row>
    <row r="1661" spans="1:16" x14ac:dyDescent="0.3">
      <c r="A1661" t="s">
        <v>953</v>
      </c>
      <c r="B1661" t="s">
        <v>1234</v>
      </c>
      <c r="C1661" t="s">
        <v>1234</v>
      </c>
      <c r="D1661" t="s">
        <v>1234</v>
      </c>
      <c r="E1661" t="s">
        <v>1234</v>
      </c>
      <c r="F1661" t="s">
        <v>1234</v>
      </c>
      <c r="G1661" t="s">
        <v>1234</v>
      </c>
      <c r="H1661" t="s">
        <v>1234</v>
      </c>
      <c r="I1661" t="s">
        <v>1234</v>
      </c>
      <c r="J1661" t="s">
        <v>1234</v>
      </c>
      <c r="K1661" t="s">
        <v>1234</v>
      </c>
      <c r="L1661" t="s">
        <v>1234</v>
      </c>
      <c r="O1661" t="s">
        <v>1234</v>
      </c>
      <c r="P1661" t="s">
        <v>1234</v>
      </c>
    </row>
    <row r="1662" spans="1:16" x14ac:dyDescent="0.3">
      <c r="A1662" t="s">
        <v>983</v>
      </c>
      <c r="B1662" t="s">
        <v>1234</v>
      </c>
      <c r="C1662" t="s">
        <v>1234</v>
      </c>
      <c r="D1662" t="s">
        <v>1234</v>
      </c>
      <c r="E1662" t="s">
        <v>1234</v>
      </c>
      <c r="F1662" t="s">
        <v>1234</v>
      </c>
      <c r="G1662" t="s">
        <v>1234</v>
      </c>
      <c r="H1662" t="s">
        <v>1234</v>
      </c>
      <c r="I1662" t="s">
        <v>1234</v>
      </c>
      <c r="J1662" t="s">
        <v>1234</v>
      </c>
      <c r="K1662" t="s">
        <v>1234</v>
      </c>
      <c r="L1662" t="s">
        <v>1234</v>
      </c>
      <c r="O1662" t="s">
        <v>1234</v>
      </c>
      <c r="P1662" t="s">
        <v>1234</v>
      </c>
    </row>
    <row r="1663" spans="1:16" x14ac:dyDescent="0.3">
      <c r="A1663" t="s">
        <v>1018</v>
      </c>
      <c r="B1663" t="s">
        <v>1234</v>
      </c>
      <c r="C1663" t="s">
        <v>1234</v>
      </c>
      <c r="D1663" t="s">
        <v>1234</v>
      </c>
      <c r="E1663" t="s">
        <v>1234</v>
      </c>
      <c r="F1663" t="s">
        <v>1234</v>
      </c>
      <c r="G1663" t="s">
        <v>1234</v>
      </c>
      <c r="H1663" t="s">
        <v>1234</v>
      </c>
      <c r="I1663" t="s">
        <v>1234</v>
      </c>
      <c r="J1663" t="s">
        <v>1234</v>
      </c>
      <c r="K1663" t="s">
        <v>1234</v>
      </c>
      <c r="L1663" t="s">
        <v>1234</v>
      </c>
      <c r="O1663" t="s">
        <v>1234</v>
      </c>
      <c r="P1663" t="s">
        <v>1234</v>
      </c>
    </row>
    <row r="1664" spans="1:16" x14ac:dyDescent="0.3">
      <c r="A1664" t="s">
        <v>1059</v>
      </c>
      <c r="B1664" t="s">
        <v>1234</v>
      </c>
      <c r="C1664" t="s">
        <v>1234</v>
      </c>
      <c r="D1664" t="s">
        <v>1234</v>
      </c>
      <c r="E1664" t="s">
        <v>1234</v>
      </c>
      <c r="F1664" t="s">
        <v>1234</v>
      </c>
      <c r="G1664" t="s">
        <v>1234</v>
      </c>
      <c r="H1664" t="s">
        <v>1234</v>
      </c>
      <c r="I1664" t="s">
        <v>1234</v>
      </c>
      <c r="J1664" t="s">
        <v>1234</v>
      </c>
      <c r="K1664" t="s">
        <v>1234</v>
      </c>
      <c r="L1664" t="s">
        <v>1234</v>
      </c>
      <c r="O1664" t="s">
        <v>1234</v>
      </c>
      <c r="P1664" t="s">
        <v>1234</v>
      </c>
    </row>
    <row r="1665" spans="1:16" x14ac:dyDescent="0.3">
      <c r="A1665" t="s">
        <v>1089</v>
      </c>
      <c r="B1665" t="s">
        <v>1234</v>
      </c>
      <c r="C1665" t="s">
        <v>1234</v>
      </c>
      <c r="D1665" t="s">
        <v>1234</v>
      </c>
      <c r="E1665" t="s">
        <v>1234</v>
      </c>
      <c r="F1665" t="s">
        <v>1234</v>
      </c>
      <c r="G1665" t="s">
        <v>1234</v>
      </c>
      <c r="H1665" t="s">
        <v>1234</v>
      </c>
      <c r="I1665" t="s">
        <v>1234</v>
      </c>
      <c r="J1665" t="s">
        <v>1234</v>
      </c>
      <c r="K1665" t="s">
        <v>1234</v>
      </c>
      <c r="L1665" t="s">
        <v>1234</v>
      </c>
      <c r="O1665" t="s">
        <v>1234</v>
      </c>
      <c r="P1665" t="s">
        <v>1234</v>
      </c>
    </row>
    <row r="1666" spans="1:16" x14ac:dyDescent="0.3">
      <c r="A1666" t="s">
        <v>1123</v>
      </c>
      <c r="B1666" t="s">
        <v>1234</v>
      </c>
      <c r="C1666" t="s">
        <v>1234</v>
      </c>
      <c r="D1666" t="s">
        <v>1234</v>
      </c>
      <c r="E1666" t="s">
        <v>1234</v>
      </c>
      <c r="F1666" t="s">
        <v>1234</v>
      </c>
      <c r="G1666" t="s">
        <v>1234</v>
      </c>
      <c r="H1666" t="s">
        <v>1234</v>
      </c>
      <c r="I1666" t="s">
        <v>1234</v>
      </c>
      <c r="J1666" t="s">
        <v>1234</v>
      </c>
      <c r="K1666" t="s">
        <v>1234</v>
      </c>
      <c r="L1666" t="s">
        <v>1234</v>
      </c>
      <c r="O1666" t="s">
        <v>1234</v>
      </c>
      <c r="P1666" t="s">
        <v>1234</v>
      </c>
    </row>
    <row r="1667" spans="1:16" x14ac:dyDescent="0.3">
      <c r="A1667" t="s">
        <v>1159</v>
      </c>
      <c r="B1667" t="s">
        <v>1234</v>
      </c>
      <c r="C1667" t="s">
        <v>1234</v>
      </c>
      <c r="D1667" t="s">
        <v>1234</v>
      </c>
      <c r="E1667" t="s">
        <v>1234</v>
      </c>
      <c r="F1667" t="s">
        <v>1234</v>
      </c>
      <c r="G1667" t="s">
        <v>1234</v>
      </c>
      <c r="H1667" t="s">
        <v>1234</v>
      </c>
      <c r="I1667" t="s">
        <v>1234</v>
      </c>
      <c r="J1667" t="s">
        <v>1234</v>
      </c>
      <c r="K1667" t="s">
        <v>1234</v>
      </c>
      <c r="L1667" t="s">
        <v>1234</v>
      </c>
      <c r="O1667" t="s">
        <v>1234</v>
      </c>
      <c r="P1667" t="s">
        <v>1234</v>
      </c>
    </row>
    <row r="1668" spans="1:16" s="4" customFormat="1" x14ac:dyDescent="0.3">
      <c r="A1668" s="4" t="s">
        <v>2299</v>
      </c>
      <c r="B1668" s="4" t="s">
        <v>1234</v>
      </c>
      <c r="C1668" s="4" t="s">
        <v>1234</v>
      </c>
      <c r="D1668" s="4" t="s">
        <v>1234</v>
      </c>
      <c r="E1668" s="4" t="s">
        <v>1234</v>
      </c>
      <c r="F1668" s="4" t="s">
        <v>1234</v>
      </c>
      <c r="G1668" s="4" t="s">
        <v>1234</v>
      </c>
      <c r="H1668" s="4" t="s">
        <v>1234</v>
      </c>
      <c r="I1668" s="4" t="s">
        <v>1234</v>
      </c>
      <c r="J1668" s="4" t="s">
        <v>1234</v>
      </c>
      <c r="K1668" s="4" t="s">
        <v>1234</v>
      </c>
      <c r="L1668" s="4" t="s">
        <v>1234</v>
      </c>
      <c r="O1668" s="4" t="s">
        <v>1234</v>
      </c>
      <c r="P1668" s="4" t="s">
        <v>1234</v>
      </c>
    </row>
    <row r="1669" spans="1:16" s="4" customFormat="1" x14ac:dyDescent="0.3"/>
    <row r="1670" spans="1:16" s="4" customFormat="1" x14ac:dyDescent="0.3"/>
    <row r="1671" spans="1:16" s="4" customFormat="1" x14ac:dyDescent="0.3">
      <c r="A1671" s="25" t="s">
        <v>2432</v>
      </c>
      <c r="B1671" s="24"/>
      <c r="C1671" s="24"/>
      <c r="D1671" s="24"/>
      <c r="E1671" s="24"/>
    </row>
    <row r="1672" spans="1:16" s="4" customFormat="1" x14ac:dyDescent="0.3">
      <c r="B1672" s="4" t="s">
        <v>2138</v>
      </c>
      <c r="C1672" s="4" t="s">
        <v>2140</v>
      </c>
      <c r="D1672" s="4" t="s">
        <v>2142</v>
      </c>
      <c r="E1672" s="4" t="s">
        <v>2144</v>
      </c>
      <c r="F1672" s="4" t="s">
        <v>2146</v>
      </c>
      <c r="G1672" s="4" t="s">
        <v>2148</v>
      </c>
      <c r="H1672" s="4" t="s">
        <v>2424</v>
      </c>
    </row>
    <row r="1673" spans="1:16" s="4" customFormat="1" x14ac:dyDescent="0.3">
      <c r="B1673" s="4" t="s">
        <v>2153</v>
      </c>
      <c r="C1673" s="4" t="s">
        <v>2153</v>
      </c>
      <c r="D1673" s="4" t="s">
        <v>2061</v>
      </c>
      <c r="E1673" s="4" t="s">
        <v>2153</v>
      </c>
      <c r="F1673" s="4" t="s">
        <v>2153</v>
      </c>
      <c r="G1673" s="4" t="s">
        <v>2061</v>
      </c>
      <c r="H1673" s="4" t="s">
        <v>2154</v>
      </c>
    </row>
    <row r="1674" spans="1:16" s="4" customFormat="1" x14ac:dyDescent="0.3">
      <c r="A1674" s="4" t="s">
        <v>39</v>
      </c>
      <c r="B1674" s="4" t="s">
        <v>2156</v>
      </c>
      <c r="C1674" s="4" t="s">
        <v>2156</v>
      </c>
      <c r="D1674" s="4" t="s">
        <v>2156</v>
      </c>
      <c r="E1674" s="4" t="s">
        <v>2156</v>
      </c>
      <c r="F1674" s="4" t="s">
        <v>2156</v>
      </c>
      <c r="G1674" s="4" t="s">
        <v>2156</v>
      </c>
      <c r="H1674" s="4" t="s">
        <v>2156</v>
      </c>
    </row>
    <row r="1675" spans="1:16" s="4" customFormat="1" x14ac:dyDescent="0.3">
      <c r="A1675" s="4" t="s">
        <v>2301</v>
      </c>
      <c r="B1675" s="4" t="s">
        <v>251</v>
      </c>
      <c r="C1675" s="4" t="s">
        <v>871</v>
      </c>
      <c r="D1675" s="4" t="s">
        <v>52</v>
      </c>
      <c r="E1675" s="4" t="s">
        <v>2159</v>
      </c>
      <c r="F1675" s="4" t="s">
        <v>2159</v>
      </c>
      <c r="G1675" s="4" t="s">
        <v>52</v>
      </c>
      <c r="H1675" s="4" t="s">
        <v>2159</v>
      </c>
    </row>
    <row r="1676" spans="1:16" s="4" customFormat="1" x14ac:dyDescent="0.3"/>
    <row r="1677" spans="1:16" s="4" customFormat="1" x14ac:dyDescent="0.3"/>
    <row r="1678" spans="1:16" s="4" customFormat="1" x14ac:dyDescent="0.3"/>
    <row r="1679" spans="1:16" s="4" customFormat="1" x14ac:dyDescent="0.3"/>
    <row r="1681" spans="1:23" x14ac:dyDescent="0.3">
      <c r="A1681" s="23" t="s">
        <v>2220</v>
      </c>
      <c r="B1681" s="24"/>
      <c r="C1681" s="24"/>
      <c r="D1681" s="24"/>
      <c r="E1681" s="24"/>
    </row>
    <row r="1682" spans="1:23" x14ac:dyDescent="0.3">
      <c r="B1682" t="s">
        <v>2138</v>
      </c>
      <c r="C1682" t="s">
        <v>2139</v>
      </c>
      <c r="D1682" t="s">
        <v>2140</v>
      </c>
      <c r="E1682" t="s">
        <v>2141</v>
      </c>
      <c r="F1682" t="s">
        <v>2142</v>
      </c>
      <c r="G1682" t="s">
        <v>2143</v>
      </c>
      <c r="H1682" t="s">
        <v>10</v>
      </c>
      <c r="I1682" t="s">
        <v>10</v>
      </c>
      <c r="J1682" t="s">
        <v>10</v>
      </c>
      <c r="K1682" t="s">
        <v>2144</v>
      </c>
      <c r="L1682" t="s">
        <v>2145</v>
      </c>
      <c r="O1682" t="s">
        <v>2146</v>
      </c>
      <c r="P1682" t="s">
        <v>2147</v>
      </c>
      <c r="Q1682" t="s">
        <v>2148</v>
      </c>
      <c r="R1682" t="s">
        <v>2149</v>
      </c>
      <c r="S1682" t="s">
        <v>2150</v>
      </c>
      <c r="T1682" t="s">
        <v>2151</v>
      </c>
      <c r="U1682" t="s">
        <v>2152</v>
      </c>
      <c r="V1682" t="s">
        <v>15</v>
      </c>
      <c r="W1682" t="s">
        <v>15</v>
      </c>
    </row>
    <row r="1683" spans="1:23" x14ac:dyDescent="0.3">
      <c r="B1683" t="s">
        <v>2153</v>
      </c>
      <c r="C1683" t="s">
        <v>2153</v>
      </c>
      <c r="D1683" t="s">
        <v>2153</v>
      </c>
      <c r="E1683" t="s">
        <v>2153</v>
      </c>
      <c r="F1683" t="s">
        <v>2061</v>
      </c>
      <c r="G1683" t="s">
        <v>2061</v>
      </c>
      <c r="H1683" t="s">
        <v>19</v>
      </c>
      <c r="I1683" t="s">
        <v>19</v>
      </c>
      <c r="J1683" t="s">
        <v>19</v>
      </c>
      <c r="K1683" t="s">
        <v>2153</v>
      </c>
      <c r="L1683" t="s">
        <v>2153</v>
      </c>
      <c r="O1683" t="s">
        <v>2153</v>
      </c>
      <c r="P1683" t="s">
        <v>2153</v>
      </c>
      <c r="Q1683" t="s">
        <v>2061</v>
      </c>
      <c r="R1683" t="s">
        <v>2061</v>
      </c>
      <c r="S1683" t="s">
        <v>2154</v>
      </c>
      <c r="T1683" t="s">
        <v>2061</v>
      </c>
      <c r="U1683" t="s">
        <v>2061</v>
      </c>
      <c r="V1683" t="s">
        <v>2155</v>
      </c>
      <c r="W1683" t="s">
        <v>2155</v>
      </c>
    </row>
    <row r="1684" spans="1:23" x14ac:dyDescent="0.3">
      <c r="A1684" t="s">
        <v>39</v>
      </c>
      <c r="B1684" t="s">
        <v>2156</v>
      </c>
      <c r="C1684" t="s">
        <v>2156</v>
      </c>
      <c r="D1684" t="s">
        <v>2156</v>
      </c>
      <c r="E1684" t="s">
        <v>2156</v>
      </c>
      <c r="F1684" t="s">
        <v>2156</v>
      </c>
      <c r="G1684" t="s">
        <v>2156</v>
      </c>
      <c r="H1684" t="s">
        <v>2157</v>
      </c>
      <c r="I1684" t="s">
        <v>45</v>
      </c>
      <c r="J1684" t="s">
        <v>41</v>
      </c>
      <c r="K1684" t="s">
        <v>2156</v>
      </c>
      <c r="L1684" t="s">
        <v>2156</v>
      </c>
      <c r="O1684" t="s">
        <v>2156</v>
      </c>
      <c r="P1684" t="s">
        <v>2156</v>
      </c>
      <c r="Q1684" t="s">
        <v>2156</v>
      </c>
      <c r="R1684" t="s">
        <v>2156</v>
      </c>
      <c r="S1684" t="s">
        <v>2156</v>
      </c>
      <c r="T1684" t="s">
        <v>2156</v>
      </c>
      <c r="U1684" t="s">
        <v>2156</v>
      </c>
      <c r="V1684" t="s">
        <v>2157</v>
      </c>
      <c r="W1684" t="s">
        <v>45</v>
      </c>
    </row>
    <row r="1685" spans="1:23" x14ac:dyDescent="0.3">
      <c r="A1685" t="s">
        <v>72</v>
      </c>
      <c r="B1685" t="s">
        <v>251</v>
      </c>
      <c r="C1685" t="s">
        <v>553</v>
      </c>
      <c r="D1685" t="s">
        <v>2221</v>
      </c>
      <c r="E1685" t="s">
        <v>729</v>
      </c>
      <c r="F1685" t="s">
        <v>52</v>
      </c>
      <c r="G1685" t="s">
        <v>52</v>
      </c>
      <c r="H1685" t="s">
        <v>1197</v>
      </c>
      <c r="I1685" t="s">
        <v>430</v>
      </c>
      <c r="J1685" t="s">
        <v>2222</v>
      </c>
      <c r="K1685" t="s">
        <v>2159</v>
      </c>
      <c r="L1685" t="s">
        <v>2159</v>
      </c>
      <c r="O1685" t="s">
        <v>2159</v>
      </c>
      <c r="P1685" t="s">
        <v>2159</v>
      </c>
      <c r="Q1685" t="s">
        <v>52</v>
      </c>
      <c r="R1685" t="s">
        <v>52</v>
      </c>
      <c r="S1685" t="s">
        <v>2159</v>
      </c>
      <c r="V1685" t="s">
        <v>94</v>
      </c>
      <c r="W1685" t="s">
        <v>94</v>
      </c>
    </row>
    <row r="1686" spans="1:23" x14ac:dyDescent="0.3">
      <c r="A1686" t="s">
        <v>109</v>
      </c>
      <c r="B1686" t="s">
        <v>52</v>
      </c>
      <c r="C1686" t="s">
        <v>71</v>
      </c>
      <c r="D1686" t="s">
        <v>1414</v>
      </c>
      <c r="E1686" t="s">
        <v>2223</v>
      </c>
      <c r="F1686" t="s">
        <v>52</v>
      </c>
      <c r="G1686" t="s">
        <v>52</v>
      </c>
      <c r="H1686" t="s">
        <v>1197</v>
      </c>
      <c r="I1686" t="s">
        <v>1197</v>
      </c>
      <c r="J1686" t="s">
        <v>1197</v>
      </c>
      <c r="K1686" t="s">
        <v>2159</v>
      </c>
      <c r="L1686" t="s">
        <v>2159</v>
      </c>
      <c r="O1686" t="s">
        <v>2159</v>
      </c>
      <c r="P1686" t="s">
        <v>2159</v>
      </c>
      <c r="Q1686" t="s">
        <v>52</v>
      </c>
      <c r="R1686" t="s">
        <v>52</v>
      </c>
      <c r="S1686" t="s">
        <v>2159</v>
      </c>
      <c r="V1686" t="s">
        <v>249</v>
      </c>
      <c r="W1686" t="s">
        <v>108</v>
      </c>
    </row>
    <row r="1687" spans="1:23" x14ac:dyDescent="0.3">
      <c r="A1687" t="s">
        <v>148</v>
      </c>
      <c r="B1687" t="s">
        <v>52</v>
      </c>
      <c r="C1687" t="s">
        <v>553</v>
      </c>
      <c r="D1687" t="s">
        <v>934</v>
      </c>
      <c r="E1687" t="s">
        <v>2224</v>
      </c>
      <c r="F1687" t="s">
        <v>52</v>
      </c>
      <c r="G1687" t="s">
        <v>52</v>
      </c>
      <c r="H1687" t="s">
        <v>1197</v>
      </c>
      <c r="I1687" t="s">
        <v>1197</v>
      </c>
      <c r="J1687" t="s">
        <v>1197</v>
      </c>
      <c r="K1687" t="s">
        <v>2159</v>
      </c>
      <c r="L1687" t="s">
        <v>2159</v>
      </c>
      <c r="O1687" t="s">
        <v>2159</v>
      </c>
      <c r="P1687" t="s">
        <v>2159</v>
      </c>
      <c r="Q1687" t="s">
        <v>52</v>
      </c>
      <c r="R1687" t="s">
        <v>52</v>
      </c>
      <c r="S1687" t="s">
        <v>2159</v>
      </c>
      <c r="V1687" t="s">
        <v>158</v>
      </c>
      <c r="W1687" t="s">
        <v>249</v>
      </c>
    </row>
    <row r="1688" spans="1:23" x14ac:dyDescent="0.3">
      <c r="A1688" t="s">
        <v>176</v>
      </c>
      <c r="B1688" t="s">
        <v>871</v>
      </c>
      <c r="C1688" t="s">
        <v>71</v>
      </c>
      <c r="D1688" t="s">
        <v>2225</v>
      </c>
      <c r="E1688" t="s">
        <v>842</v>
      </c>
      <c r="F1688" t="s">
        <v>52</v>
      </c>
      <c r="G1688" t="s">
        <v>52</v>
      </c>
      <c r="H1688" t="s">
        <v>2226</v>
      </c>
      <c r="I1688" t="s">
        <v>1983</v>
      </c>
      <c r="J1688" t="s">
        <v>430</v>
      </c>
      <c r="K1688" t="s">
        <v>2159</v>
      </c>
      <c r="L1688" t="s">
        <v>2159</v>
      </c>
      <c r="O1688" t="s">
        <v>2159</v>
      </c>
      <c r="P1688" t="s">
        <v>2159</v>
      </c>
      <c r="Q1688" t="s">
        <v>52</v>
      </c>
      <c r="R1688" t="s">
        <v>52</v>
      </c>
      <c r="S1688" t="s">
        <v>2159</v>
      </c>
      <c r="T1688" t="s">
        <v>2165</v>
      </c>
      <c r="U1688" t="s">
        <v>2165</v>
      </c>
      <c r="V1688" t="s">
        <v>94</v>
      </c>
      <c r="W1688" t="s">
        <v>94</v>
      </c>
    </row>
    <row r="1689" spans="1:23" x14ac:dyDescent="0.3">
      <c r="A1689" t="s">
        <v>200</v>
      </c>
      <c r="B1689" t="s">
        <v>52</v>
      </c>
      <c r="C1689" t="s">
        <v>160</v>
      </c>
      <c r="D1689" t="s">
        <v>2227</v>
      </c>
      <c r="E1689" t="s">
        <v>2228</v>
      </c>
      <c r="F1689" t="s">
        <v>52</v>
      </c>
      <c r="G1689" t="s">
        <v>52</v>
      </c>
      <c r="H1689" t="s">
        <v>1197</v>
      </c>
      <c r="I1689" t="s">
        <v>2229</v>
      </c>
      <c r="J1689" t="s">
        <v>2230</v>
      </c>
      <c r="K1689" t="s">
        <v>2159</v>
      </c>
      <c r="L1689" t="s">
        <v>2159</v>
      </c>
      <c r="O1689" t="s">
        <v>2159</v>
      </c>
      <c r="P1689" t="s">
        <v>2159</v>
      </c>
      <c r="Q1689" t="s">
        <v>52</v>
      </c>
      <c r="R1689" t="s">
        <v>52</v>
      </c>
      <c r="S1689" t="s">
        <v>2159</v>
      </c>
      <c r="V1689" t="s">
        <v>107</v>
      </c>
      <c r="W1689" t="s">
        <v>249</v>
      </c>
    </row>
    <row r="1690" spans="1:23" x14ac:dyDescent="0.3">
      <c r="A1690" t="s">
        <v>227</v>
      </c>
      <c r="B1690" t="s">
        <v>52</v>
      </c>
      <c r="C1690" t="s">
        <v>553</v>
      </c>
      <c r="D1690" t="s">
        <v>2231</v>
      </c>
      <c r="E1690" t="s">
        <v>451</v>
      </c>
      <c r="F1690" t="s">
        <v>52</v>
      </c>
      <c r="G1690" t="s">
        <v>52</v>
      </c>
      <c r="H1690" t="s">
        <v>1197</v>
      </c>
      <c r="I1690" t="s">
        <v>251</v>
      </c>
      <c r="J1690" t="s">
        <v>851</v>
      </c>
      <c r="K1690" t="s">
        <v>2159</v>
      </c>
      <c r="L1690" t="s">
        <v>2159</v>
      </c>
      <c r="O1690" t="s">
        <v>2159</v>
      </c>
      <c r="P1690" t="s">
        <v>2159</v>
      </c>
      <c r="Q1690" t="s">
        <v>52</v>
      </c>
      <c r="R1690" t="s">
        <v>52</v>
      </c>
      <c r="S1690" t="s">
        <v>2159</v>
      </c>
      <c r="V1690" t="s">
        <v>60</v>
      </c>
      <c r="W1690" t="s">
        <v>439</v>
      </c>
    </row>
    <row r="1691" spans="1:23" x14ac:dyDescent="0.3">
      <c r="A1691" t="s">
        <v>262</v>
      </c>
      <c r="B1691" t="s">
        <v>871</v>
      </c>
      <c r="C1691" t="s">
        <v>52</v>
      </c>
      <c r="D1691" t="s">
        <v>2232</v>
      </c>
      <c r="E1691" t="s">
        <v>866</v>
      </c>
      <c r="F1691" t="s">
        <v>52</v>
      </c>
      <c r="G1691" t="s">
        <v>52</v>
      </c>
      <c r="H1691" t="s">
        <v>1669</v>
      </c>
      <c r="I1691" t="s">
        <v>1690</v>
      </c>
      <c r="J1691" t="s">
        <v>1840</v>
      </c>
      <c r="K1691" t="s">
        <v>2159</v>
      </c>
      <c r="L1691" t="s">
        <v>2159</v>
      </c>
      <c r="O1691" t="s">
        <v>1020</v>
      </c>
      <c r="P1691" t="s">
        <v>2159</v>
      </c>
      <c r="Q1691" t="s">
        <v>488</v>
      </c>
      <c r="R1691" t="s">
        <v>52</v>
      </c>
      <c r="S1691" t="s">
        <v>2159</v>
      </c>
      <c r="V1691" t="s">
        <v>70</v>
      </c>
      <c r="W1691" t="s">
        <v>66</v>
      </c>
    </row>
    <row r="1692" spans="1:23" x14ac:dyDescent="0.3">
      <c r="A1692" t="s">
        <v>291</v>
      </c>
      <c r="B1692" t="s">
        <v>52</v>
      </c>
      <c r="C1692" t="s">
        <v>553</v>
      </c>
      <c r="D1692" t="s">
        <v>1335</v>
      </c>
      <c r="E1692" t="s">
        <v>2233</v>
      </c>
      <c r="F1692" t="s">
        <v>52</v>
      </c>
      <c r="G1692" t="s">
        <v>52</v>
      </c>
      <c r="H1692" t="s">
        <v>1197</v>
      </c>
      <c r="I1692" t="s">
        <v>1197</v>
      </c>
      <c r="J1692" t="s">
        <v>1197</v>
      </c>
      <c r="K1692" t="s">
        <v>2159</v>
      </c>
      <c r="L1692" t="s">
        <v>2159</v>
      </c>
      <c r="O1692" t="s">
        <v>2159</v>
      </c>
      <c r="P1692" t="s">
        <v>2159</v>
      </c>
      <c r="Q1692" t="s">
        <v>52</v>
      </c>
      <c r="R1692" t="s">
        <v>52</v>
      </c>
      <c r="S1692" t="s">
        <v>2159</v>
      </c>
      <c r="T1692" t="s">
        <v>86</v>
      </c>
      <c r="U1692" t="s">
        <v>86</v>
      </c>
      <c r="V1692" t="s">
        <v>107</v>
      </c>
      <c r="W1692" t="s">
        <v>71</v>
      </c>
    </row>
    <row r="1693" spans="1:23" x14ac:dyDescent="0.3">
      <c r="A1693" t="s">
        <v>310</v>
      </c>
      <c r="B1693" t="s">
        <v>251</v>
      </c>
      <c r="C1693" t="s">
        <v>52</v>
      </c>
      <c r="D1693" t="s">
        <v>140</v>
      </c>
      <c r="E1693" t="s">
        <v>2234</v>
      </c>
      <c r="F1693" t="s">
        <v>52</v>
      </c>
      <c r="G1693" t="s">
        <v>52</v>
      </c>
      <c r="H1693" t="s">
        <v>1197</v>
      </c>
      <c r="I1693" t="s">
        <v>121</v>
      </c>
      <c r="J1693" t="s">
        <v>630</v>
      </c>
      <c r="K1693" t="s">
        <v>2159</v>
      </c>
      <c r="L1693" t="s">
        <v>2159</v>
      </c>
      <c r="O1693" t="s">
        <v>2159</v>
      </c>
      <c r="P1693" t="s">
        <v>2159</v>
      </c>
      <c r="Q1693" t="s">
        <v>52</v>
      </c>
      <c r="R1693" t="s">
        <v>52</v>
      </c>
      <c r="S1693" t="s">
        <v>2159</v>
      </c>
      <c r="V1693" t="s">
        <v>121</v>
      </c>
      <c r="W1693" t="s">
        <v>117</v>
      </c>
    </row>
    <row r="1694" spans="1:23" x14ac:dyDescent="0.3">
      <c r="A1694" t="s">
        <v>341</v>
      </c>
      <c r="B1694" t="s">
        <v>52</v>
      </c>
      <c r="C1694" t="s">
        <v>52</v>
      </c>
      <c r="D1694" t="s">
        <v>1183</v>
      </c>
      <c r="E1694" t="s">
        <v>2235</v>
      </c>
      <c r="F1694" t="s">
        <v>52</v>
      </c>
      <c r="G1694" t="s">
        <v>52</v>
      </c>
      <c r="H1694" t="s">
        <v>1197</v>
      </c>
      <c r="I1694" t="s">
        <v>368</v>
      </c>
      <c r="J1694" t="s">
        <v>2236</v>
      </c>
      <c r="K1694" t="s">
        <v>2159</v>
      </c>
      <c r="L1694" t="s">
        <v>2159</v>
      </c>
      <c r="O1694" t="s">
        <v>2159</v>
      </c>
      <c r="P1694" t="s">
        <v>2159</v>
      </c>
      <c r="Q1694" t="s">
        <v>52</v>
      </c>
      <c r="R1694" t="s">
        <v>52</v>
      </c>
      <c r="S1694" t="s">
        <v>2159</v>
      </c>
      <c r="T1694" t="s">
        <v>86</v>
      </c>
      <c r="U1694" t="s">
        <v>86</v>
      </c>
      <c r="V1694" t="s">
        <v>66</v>
      </c>
      <c r="W1694" t="s">
        <v>263</v>
      </c>
    </row>
    <row r="1695" spans="1:23" x14ac:dyDescent="0.3">
      <c r="A1695" t="s">
        <v>366</v>
      </c>
      <c r="B1695" t="s">
        <v>1949</v>
      </c>
      <c r="C1695" t="s">
        <v>553</v>
      </c>
      <c r="D1695" t="s">
        <v>318</v>
      </c>
      <c r="E1695" t="s">
        <v>2237</v>
      </c>
      <c r="F1695" t="s">
        <v>52</v>
      </c>
      <c r="G1695" t="s">
        <v>52</v>
      </c>
      <c r="H1695" t="s">
        <v>1197</v>
      </c>
      <c r="I1695" t="s">
        <v>1197</v>
      </c>
      <c r="J1695" t="s">
        <v>1197</v>
      </c>
      <c r="K1695" t="s">
        <v>2159</v>
      </c>
      <c r="L1695" t="s">
        <v>2159</v>
      </c>
      <c r="O1695" t="s">
        <v>2159</v>
      </c>
      <c r="P1695" t="s">
        <v>2159</v>
      </c>
      <c r="Q1695" t="s">
        <v>52</v>
      </c>
      <c r="R1695" t="s">
        <v>52</v>
      </c>
      <c r="S1695" t="s">
        <v>2159</v>
      </c>
      <c r="T1695" t="s">
        <v>86</v>
      </c>
      <c r="U1695" t="s">
        <v>86</v>
      </c>
      <c r="V1695" t="s">
        <v>56</v>
      </c>
      <c r="W1695" t="s">
        <v>66</v>
      </c>
    </row>
    <row r="1696" spans="1:23" x14ac:dyDescent="0.3">
      <c r="A1696" t="s">
        <v>394</v>
      </c>
      <c r="B1696" t="s">
        <v>1949</v>
      </c>
      <c r="C1696" t="s">
        <v>553</v>
      </c>
      <c r="D1696" t="s">
        <v>2238</v>
      </c>
      <c r="E1696" t="s">
        <v>1116</v>
      </c>
      <c r="F1696" t="s">
        <v>52</v>
      </c>
      <c r="G1696" t="s">
        <v>52</v>
      </c>
      <c r="H1696" t="s">
        <v>1197</v>
      </c>
      <c r="I1696" t="s">
        <v>1197</v>
      </c>
      <c r="J1696" t="s">
        <v>1197</v>
      </c>
      <c r="K1696" t="s">
        <v>2159</v>
      </c>
      <c r="L1696" t="s">
        <v>2159</v>
      </c>
      <c r="O1696" t="s">
        <v>2159</v>
      </c>
      <c r="P1696" t="s">
        <v>2159</v>
      </c>
      <c r="Q1696" t="s">
        <v>52</v>
      </c>
      <c r="R1696" t="s">
        <v>52</v>
      </c>
      <c r="S1696" t="s">
        <v>2159</v>
      </c>
      <c r="T1696" t="s">
        <v>86</v>
      </c>
      <c r="U1696" t="s">
        <v>86</v>
      </c>
      <c r="V1696" t="s">
        <v>274</v>
      </c>
      <c r="W1696" t="s">
        <v>117</v>
      </c>
    </row>
    <row r="1697" spans="1:23" x14ac:dyDescent="0.3">
      <c r="A1697" t="s">
        <v>420</v>
      </c>
      <c r="B1697" t="s">
        <v>251</v>
      </c>
      <c r="C1697" t="s">
        <v>71</v>
      </c>
      <c r="D1697" t="s">
        <v>417</v>
      </c>
      <c r="E1697" t="s">
        <v>2239</v>
      </c>
      <c r="F1697" t="s">
        <v>52</v>
      </c>
      <c r="G1697" t="s">
        <v>52</v>
      </c>
      <c r="H1697" t="s">
        <v>1197</v>
      </c>
      <c r="I1697" t="s">
        <v>1197</v>
      </c>
      <c r="J1697" t="s">
        <v>1197</v>
      </c>
      <c r="K1697" t="s">
        <v>2159</v>
      </c>
      <c r="L1697" t="s">
        <v>2159</v>
      </c>
      <c r="O1697" t="s">
        <v>2159</v>
      </c>
      <c r="P1697" t="s">
        <v>2159</v>
      </c>
      <c r="Q1697" t="s">
        <v>52</v>
      </c>
      <c r="R1697" t="s">
        <v>52</v>
      </c>
      <c r="S1697" t="s">
        <v>2159</v>
      </c>
      <c r="T1697" t="s">
        <v>86</v>
      </c>
      <c r="U1697" t="s">
        <v>86</v>
      </c>
      <c r="V1697" t="s">
        <v>117</v>
      </c>
      <c r="W1697" t="s">
        <v>206</v>
      </c>
    </row>
    <row r="1698" spans="1:23" x14ac:dyDescent="0.3">
      <c r="A1698" t="s">
        <v>442</v>
      </c>
      <c r="B1698" t="s">
        <v>1949</v>
      </c>
      <c r="C1698" t="s">
        <v>71</v>
      </c>
      <c r="D1698" t="s">
        <v>2240</v>
      </c>
      <c r="E1698" t="s">
        <v>2241</v>
      </c>
      <c r="F1698" t="s">
        <v>52</v>
      </c>
      <c r="G1698" t="s">
        <v>52</v>
      </c>
      <c r="H1698" t="s">
        <v>1197</v>
      </c>
      <c r="I1698" t="s">
        <v>1197</v>
      </c>
      <c r="J1698" t="s">
        <v>1197</v>
      </c>
      <c r="K1698" t="s">
        <v>2159</v>
      </c>
      <c r="L1698" t="s">
        <v>2159</v>
      </c>
      <c r="O1698" t="s">
        <v>2159</v>
      </c>
      <c r="P1698" t="s">
        <v>2159</v>
      </c>
      <c r="Q1698" t="s">
        <v>52</v>
      </c>
      <c r="R1698" t="s">
        <v>52</v>
      </c>
      <c r="S1698" t="s">
        <v>2159</v>
      </c>
      <c r="T1698" t="s">
        <v>86</v>
      </c>
      <c r="U1698" t="s">
        <v>86</v>
      </c>
      <c r="V1698" t="s">
        <v>66</v>
      </c>
      <c r="W1698" t="s">
        <v>439</v>
      </c>
    </row>
    <row r="1699" spans="1:23" x14ac:dyDescent="0.3">
      <c r="A1699" t="s">
        <v>464</v>
      </c>
      <c r="B1699" t="s">
        <v>251</v>
      </c>
      <c r="C1699" t="s">
        <v>553</v>
      </c>
      <c r="D1699" t="s">
        <v>417</v>
      </c>
      <c r="E1699" t="s">
        <v>2242</v>
      </c>
      <c r="F1699" t="s">
        <v>52</v>
      </c>
      <c r="G1699" t="s">
        <v>52</v>
      </c>
      <c r="H1699" t="s">
        <v>1197</v>
      </c>
      <c r="I1699" t="s">
        <v>1197</v>
      </c>
      <c r="J1699" t="s">
        <v>1197</v>
      </c>
      <c r="K1699" t="s">
        <v>2159</v>
      </c>
      <c r="L1699" t="s">
        <v>2159</v>
      </c>
      <c r="O1699" t="s">
        <v>2159</v>
      </c>
      <c r="P1699" t="s">
        <v>2159</v>
      </c>
      <c r="Q1699" t="s">
        <v>52</v>
      </c>
      <c r="R1699" t="s">
        <v>52</v>
      </c>
      <c r="S1699" t="s">
        <v>2159</v>
      </c>
      <c r="T1699" t="s">
        <v>86</v>
      </c>
      <c r="U1699" t="s">
        <v>86</v>
      </c>
      <c r="V1699" t="s">
        <v>94</v>
      </c>
      <c r="W1699" t="s">
        <v>206</v>
      </c>
    </row>
    <row r="1700" spans="1:23" x14ac:dyDescent="0.3">
      <c r="A1700" t="s">
        <v>480</v>
      </c>
      <c r="B1700" t="s">
        <v>2159</v>
      </c>
      <c r="C1700" t="s">
        <v>71</v>
      </c>
      <c r="D1700" t="s">
        <v>1688</v>
      </c>
      <c r="E1700" t="s">
        <v>2243</v>
      </c>
      <c r="F1700" t="s">
        <v>52</v>
      </c>
      <c r="G1700" t="s">
        <v>52</v>
      </c>
      <c r="H1700" t="s">
        <v>1197</v>
      </c>
      <c r="I1700" t="s">
        <v>1197</v>
      </c>
      <c r="J1700" t="s">
        <v>1197</v>
      </c>
      <c r="K1700" t="s">
        <v>2159</v>
      </c>
      <c r="L1700" t="s">
        <v>2159</v>
      </c>
      <c r="O1700" t="s">
        <v>2159</v>
      </c>
      <c r="P1700" t="s">
        <v>2159</v>
      </c>
      <c r="Q1700" t="s">
        <v>52</v>
      </c>
      <c r="R1700" t="s">
        <v>52</v>
      </c>
      <c r="S1700" t="s">
        <v>2159</v>
      </c>
      <c r="T1700" t="s">
        <v>86</v>
      </c>
      <c r="U1700" t="s">
        <v>86</v>
      </c>
      <c r="V1700" t="s">
        <v>94</v>
      </c>
      <c r="W1700" t="s">
        <v>117</v>
      </c>
    </row>
    <row r="1701" spans="1:23" x14ac:dyDescent="0.3">
      <c r="A1701" t="s">
        <v>503</v>
      </c>
      <c r="B1701" t="s">
        <v>871</v>
      </c>
      <c r="C1701" t="s">
        <v>71</v>
      </c>
      <c r="D1701" t="s">
        <v>1296</v>
      </c>
      <c r="E1701" t="s">
        <v>520</v>
      </c>
      <c r="F1701" t="s">
        <v>52</v>
      </c>
      <c r="G1701" t="s">
        <v>52</v>
      </c>
      <c r="H1701" t="s">
        <v>1197</v>
      </c>
      <c r="I1701" t="s">
        <v>1197</v>
      </c>
      <c r="J1701" t="s">
        <v>1197</v>
      </c>
      <c r="K1701" t="s">
        <v>2159</v>
      </c>
      <c r="L1701" t="s">
        <v>2159</v>
      </c>
      <c r="O1701" t="s">
        <v>2159</v>
      </c>
      <c r="P1701" t="s">
        <v>2159</v>
      </c>
      <c r="Q1701" t="s">
        <v>52</v>
      </c>
      <c r="R1701" t="s">
        <v>52</v>
      </c>
      <c r="S1701" t="s">
        <v>2159</v>
      </c>
      <c r="T1701" t="s">
        <v>86</v>
      </c>
      <c r="U1701" t="s">
        <v>86</v>
      </c>
      <c r="V1701" t="s">
        <v>228</v>
      </c>
      <c r="W1701" t="s">
        <v>94</v>
      </c>
    </row>
    <row r="1702" spans="1:23" x14ac:dyDescent="0.3">
      <c r="A1702" t="s">
        <v>523</v>
      </c>
      <c r="B1702" t="s">
        <v>52</v>
      </c>
      <c r="C1702" t="s">
        <v>251</v>
      </c>
      <c r="D1702" t="s">
        <v>328</v>
      </c>
      <c r="E1702" t="s">
        <v>2244</v>
      </c>
      <c r="F1702" t="s">
        <v>52</v>
      </c>
      <c r="G1702" t="s">
        <v>52</v>
      </c>
      <c r="H1702" t="s">
        <v>1197</v>
      </c>
      <c r="I1702" t="s">
        <v>1197</v>
      </c>
      <c r="J1702" t="s">
        <v>1197</v>
      </c>
      <c r="K1702" t="s">
        <v>2159</v>
      </c>
      <c r="L1702" t="s">
        <v>2159</v>
      </c>
      <c r="O1702" t="s">
        <v>2159</v>
      </c>
      <c r="P1702" t="s">
        <v>2159</v>
      </c>
      <c r="Q1702" t="s">
        <v>52</v>
      </c>
      <c r="R1702" t="s">
        <v>52</v>
      </c>
      <c r="S1702" t="s">
        <v>2159</v>
      </c>
      <c r="T1702" t="s">
        <v>86</v>
      </c>
      <c r="U1702" t="s">
        <v>86</v>
      </c>
      <c r="V1702" t="s">
        <v>66</v>
      </c>
      <c r="W1702" t="s">
        <v>117</v>
      </c>
    </row>
    <row r="1703" spans="1:23" x14ac:dyDescent="0.3">
      <c r="A1703" t="s">
        <v>552</v>
      </c>
      <c r="B1703" t="s">
        <v>52</v>
      </c>
      <c r="C1703" t="s">
        <v>52</v>
      </c>
      <c r="D1703" t="s">
        <v>500</v>
      </c>
      <c r="E1703" t="s">
        <v>2245</v>
      </c>
      <c r="F1703" t="s">
        <v>52</v>
      </c>
      <c r="G1703" t="s">
        <v>52</v>
      </c>
      <c r="H1703" t="s">
        <v>1197</v>
      </c>
      <c r="I1703" t="s">
        <v>304</v>
      </c>
      <c r="J1703" t="s">
        <v>1256</v>
      </c>
      <c r="K1703" t="s">
        <v>2159</v>
      </c>
      <c r="L1703" t="s">
        <v>2159</v>
      </c>
      <c r="O1703" t="s">
        <v>2159</v>
      </c>
      <c r="P1703" t="s">
        <v>2159</v>
      </c>
      <c r="Q1703" t="s">
        <v>52</v>
      </c>
      <c r="R1703" t="s">
        <v>52</v>
      </c>
      <c r="S1703" t="s">
        <v>2159</v>
      </c>
      <c r="T1703" t="s">
        <v>86</v>
      </c>
      <c r="U1703" t="s">
        <v>86</v>
      </c>
      <c r="V1703" t="s">
        <v>66</v>
      </c>
      <c r="W1703" t="s">
        <v>263</v>
      </c>
    </row>
    <row r="1704" spans="1:23" x14ac:dyDescent="0.3">
      <c r="A1704" t="s">
        <v>572</v>
      </c>
      <c r="B1704" t="s">
        <v>2246</v>
      </c>
      <c r="C1704" t="s">
        <v>2246</v>
      </c>
      <c r="D1704" t="s">
        <v>2246</v>
      </c>
      <c r="E1704" t="s">
        <v>2246</v>
      </c>
      <c r="F1704" t="s">
        <v>2246</v>
      </c>
      <c r="G1704" t="s">
        <v>2246</v>
      </c>
      <c r="H1704" t="s">
        <v>2246</v>
      </c>
      <c r="I1704" t="s">
        <v>2246</v>
      </c>
      <c r="J1704" t="s">
        <v>2246</v>
      </c>
      <c r="K1704" t="s">
        <v>2246</v>
      </c>
      <c r="L1704" t="s">
        <v>2246</v>
      </c>
      <c r="O1704" t="s">
        <v>2246</v>
      </c>
      <c r="P1704" t="s">
        <v>2246</v>
      </c>
      <c r="Q1704" t="s">
        <v>2246</v>
      </c>
      <c r="R1704" t="s">
        <v>2246</v>
      </c>
      <c r="S1704" t="s">
        <v>2246</v>
      </c>
      <c r="T1704" t="s">
        <v>2246</v>
      </c>
      <c r="U1704" t="s">
        <v>2246</v>
      </c>
      <c r="V1704" t="s">
        <v>2246</v>
      </c>
      <c r="W1704" t="s">
        <v>2246</v>
      </c>
    </row>
    <row r="1705" spans="1:23" x14ac:dyDescent="0.3">
      <c r="A1705" t="s">
        <v>591</v>
      </c>
      <c r="B1705" t="s">
        <v>52</v>
      </c>
      <c r="C1705" t="s">
        <v>433</v>
      </c>
      <c r="D1705" t="s">
        <v>1765</v>
      </c>
      <c r="E1705" t="s">
        <v>2247</v>
      </c>
      <c r="F1705" t="s">
        <v>52</v>
      </c>
      <c r="G1705" t="s">
        <v>52</v>
      </c>
      <c r="H1705" t="s">
        <v>2189</v>
      </c>
      <c r="I1705" t="s">
        <v>2202</v>
      </c>
      <c r="J1705" t="s">
        <v>2248</v>
      </c>
      <c r="K1705" t="s">
        <v>2159</v>
      </c>
      <c r="L1705" t="s">
        <v>2159</v>
      </c>
      <c r="O1705" t="s">
        <v>2159</v>
      </c>
      <c r="P1705" t="s">
        <v>2159</v>
      </c>
      <c r="Q1705" t="s">
        <v>52</v>
      </c>
      <c r="R1705" t="s">
        <v>52</v>
      </c>
      <c r="S1705" t="s">
        <v>2159</v>
      </c>
      <c r="T1705" t="s">
        <v>86</v>
      </c>
      <c r="U1705" t="s">
        <v>86</v>
      </c>
      <c r="V1705" t="s">
        <v>263</v>
      </c>
      <c r="W1705" t="s">
        <v>263</v>
      </c>
    </row>
    <row r="1706" spans="1:23" x14ac:dyDescent="0.3">
      <c r="A1706" t="s">
        <v>614</v>
      </c>
      <c r="B1706" t="s">
        <v>251</v>
      </c>
      <c r="C1706" t="s">
        <v>160</v>
      </c>
      <c r="D1706" t="s">
        <v>2249</v>
      </c>
      <c r="E1706" t="s">
        <v>594</v>
      </c>
      <c r="F1706" t="s">
        <v>52</v>
      </c>
      <c r="G1706" t="s">
        <v>52</v>
      </c>
      <c r="H1706" t="s">
        <v>2189</v>
      </c>
      <c r="I1706" t="s">
        <v>2250</v>
      </c>
      <c r="J1706" t="s">
        <v>897</v>
      </c>
      <c r="K1706" t="s">
        <v>2159</v>
      </c>
      <c r="L1706" t="s">
        <v>2159</v>
      </c>
      <c r="O1706" t="s">
        <v>52</v>
      </c>
      <c r="P1706" t="s">
        <v>2159</v>
      </c>
      <c r="Q1706" t="s">
        <v>52</v>
      </c>
      <c r="R1706" t="s">
        <v>52</v>
      </c>
      <c r="S1706" t="s">
        <v>2159</v>
      </c>
      <c r="T1706" t="s">
        <v>86</v>
      </c>
      <c r="U1706" t="s">
        <v>86</v>
      </c>
      <c r="V1706" t="s">
        <v>263</v>
      </c>
      <c r="W1706" t="s">
        <v>383</v>
      </c>
    </row>
    <row r="1707" spans="1:23" x14ac:dyDescent="0.3">
      <c r="A1707" t="s">
        <v>642</v>
      </c>
      <c r="B1707" t="s">
        <v>52</v>
      </c>
      <c r="C1707" t="s">
        <v>756</v>
      </c>
      <c r="D1707" t="s">
        <v>180</v>
      </c>
      <c r="E1707" t="s">
        <v>2251</v>
      </c>
      <c r="F1707" t="s">
        <v>52</v>
      </c>
      <c r="G1707" t="s">
        <v>52</v>
      </c>
      <c r="H1707" t="s">
        <v>2201</v>
      </c>
      <c r="I1707" t="s">
        <v>2252</v>
      </c>
      <c r="J1707" t="s">
        <v>2253</v>
      </c>
      <c r="K1707" t="s">
        <v>2159</v>
      </c>
      <c r="L1707" t="s">
        <v>2159</v>
      </c>
      <c r="O1707" t="s">
        <v>52</v>
      </c>
      <c r="P1707" t="s">
        <v>2159</v>
      </c>
      <c r="Q1707" t="s">
        <v>52</v>
      </c>
      <c r="R1707" t="s">
        <v>52</v>
      </c>
      <c r="S1707" t="s">
        <v>2159</v>
      </c>
      <c r="T1707" t="s">
        <v>86</v>
      </c>
      <c r="U1707" t="s">
        <v>86</v>
      </c>
      <c r="V1707" t="s">
        <v>374</v>
      </c>
      <c r="W1707" t="s">
        <v>391</v>
      </c>
    </row>
    <row r="1708" spans="1:23" x14ac:dyDescent="0.3">
      <c r="A1708" t="s">
        <v>666</v>
      </c>
      <c r="B1708" t="s">
        <v>52</v>
      </c>
      <c r="C1708" t="s">
        <v>52</v>
      </c>
      <c r="D1708" t="s">
        <v>955</v>
      </c>
      <c r="E1708" t="s">
        <v>196</v>
      </c>
      <c r="F1708" t="s">
        <v>488</v>
      </c>
      <c r="G1708" t="s">
        <v>52</v>
      </c>
      <c r="H1708" t="s">
        <v>2254</v>
      </c>
      <c r="I1708" t="s">
        <v>2255</v>
      </c>
      <c r="J1708" t="s">
        <v>2256</v>
      </c>
      <c r="K1708" t="s">
        <v>2159</v>
      </c>
      <c r="L1708" t="s">
        <v>2159</v>
      </c>
      <c r="O1708" t="s">
        <v>370</v>
      </c>
      <c r="P1708" t="s">
        <v>2159</v>
      </c>
      <c r="Q1708" t="s">
        <v>52</v>
      </c>
      <c r="R1708" t="s">
        <v>52</v>
      </c>
      <c r="S1708" t="s">
        <v>370</v>
      </c>
      <c r="T1708" t="s">
        <v>86</v>
      </c>
      <c r="U1708" t="s">
        <v>86</v>
      </c>
      <c r="V1708" t="s">
        <v>228</v>
      </c>
      <c r="W1708" t="s">
        <v>56</v>
      </c>
    </row>
    <row r="1709" spans="1:23" x14ac:dyDescent="0.3">
      <c r="A1709" t="s">
        <v>686</v>
      </c>
      <c r="B1709" t="s">
        <v>52</v>
      </c>
      <c r="D1709" t="s">
        <v>211</v>
      </c>
      <c r="F1709" t="s">
        <v>488</v>
      </c>
      <c r="K1709" t="s">
        <v>2159</v>
      </c>
      <c r="O1709" t="s">
        <v>1020</v>
      </c>
      <c r="Q1709" t="s">
        <v>52</v>
      </c>
      <c r="S1709" t="s">
        <v>2159</v>
      </c>
      <c r="T1709" t="s">
        <v>86</v>
      </c>
      <c r="U1709" t="s">
        <v>86</v>
      </c>
    </row>
    <row r="1710" spans="1:23" x14ac:dyDescent="0.3">
      <c r="A1710" t="s">
        <v>703</v>
      </c>
      <c r="B1710" t="s">
        <v>52</v>
      </c>
      <c r="D1710" t="s">
        <v>307</v>
      </c>
      <c r="F1710" t="s">
        <v>52</v>
      </c>
      <c r="K1710" t="s">
        <v>2159</v>
      </c>
      <c r="O1710" t="s">
        <v>370</v>
      </c>
      <c r="Q1710" t="s">
        <v>488</v>
      </c>
      <c r="S1710" t="s">
        <v>370</v>
      </c>
      <c r="T1710" t="s">
        <v>488</v>
      </c>
      <c r="U1710" t="s">
        <v>86</v>
      </c>
    </row>
    <row r="1711" spans="1:23" x14ac:dyDescent="0.3">
      <c r="A1711" t="s">
        <v>726</v>
      </c>
      <c r="B1711" t="s">
        <v>52</v>
      </c>
      <c r="D1711" t="s">
        <v>2159</v>
      </c>
      <c r="F1711" t="s">
        <v>52</v>
      </c>
      <c r="K1711" t="s">
        <v>2159</v>
      </c>
      <c r="O1711" t="s">
        <v>52</v>
      </c>
      <c r="Q1711" t="s">
        <v>488</v>
      </c>
      <c r="S1711" t="s">
        <v>2159</v>
      </c>
      <c r="T1711" t="s">
        <v>488</v>
      </c>
      <c r="U1711" t="s">
        <v>488</v>
      </c>
    </row>
    <row r="1712" spans="1:23" x14ac:dyDescent="0.3">
      <c r="A1712" t="s">
        <v>747</v>
      </c>
      <c r="B1712" t="s">
        <v>52</v>
      </c>
      <c r="C1712" t="s">
        <v>2165</v>
      </c>
      <c r="D1712" t="s">
        <v>2159</v>
      </c>
      <c r="E1712" t="s">
        <v>2165</v>
      </c>
      <c r="F1712" t="s">
        <v>52</v>
      </c>
      <c r="G1712" t="s">
        <v>2165</v>
      </c>
      <c r="H1712" t="s">
        <v>2165</v>
      </c>
      <c r="I1712" t="s">
        <v>2165</v>
      </c>
      <c r="J1712" t="s">
        <v>2165</v>
      </c>
      <c r="K1712" t="s">
        <v>2159</v>
      </c>
      <c r="L1712" t="s">
        <v>2165</v>
      </c>
      <c r="O1712" t="s">
        <v>370</v>
      </c>
      <c r="P1712" t="s">
        <v>2165</v>
      </c>
      <c r="Q1712" t="s">
        <v>488</v>
      </c>
      <c r="R1712" t="s">
        <v>2165</v>
      </c>
      <c r="S1712" t="s">
        <v>2159</v>
      </c>
      <c r="T1712" t="s">
        <v>86</v>
      </c>
      <c r="U1712" t="s">
        <v>86</v>
      </c>
      <c r="V1712" t="s">
        <v>2165</v>
      </c>
      <c r="W1712" t="s">
        <v>2165</v>
      </c>
    </row>
    <row r="1713" spans="1:21" x14ac:dyDescent="0.3">
      <c r="A1713" t="s">
        <v>772</v>
      </c>
      <c r="B1713" t="s">
        <v>52</v>
      </c>
      <c r="D1713" t="s">
        <v>2159</v>
      </c>
      <c r="F1713" t="s">
        <v>52</v>
      </c>
      <c r="K1713" t="s">
        <v>2159</v>
      </c>
      <c r="O1713" t="s">
        <v>2159</v>
      </c>
      <c r="Q1713" t="s">
        <v>52</v>
      </c>
      <c r="S1713" t="s">
        <v>2159</v>
      </c>
      <c r="T1713" t="s">
        <v>86</v>
      </c>
      <c r="U1713" t="s">
        <v>86</v>
      </c>
    </row>
    <row r="1714" spans="1:21" x14ac:dyDescent="0.3">
      <c r="A1714" t="s">
        <v>791</v>
      </c>
      <c r="B1714" t="s">
        <v>52</v>
      </c>
      <c r="D1714" t="s">
        <v>2159</v>
      </c>
      <c r="F1714" t="s">
        <v>52</v>
      </c>
      <c r="K1714" t="s">
        <v>2159</v>
      </c>
      <c r="O1714" t="s">
        <v>2159</v>
      </c>
      <c r="Q1714" t="s">
        <v>52</v>
      </c>
      <c r="S1714" t="s">
        <v>2159</v>
      </c>
      <c r="T1714" t="s">
        <v>86</v>
      </c>
      <c r="U1714" t="s">
        <v>86</v>
      </c>
    </row>
    <row r="1715" spans="1:21" x14ac:dyDescent="0.3">
      <c r="A1715" t="s">
        <v>812</v>
      </c>
      <c r="B1715" t="s">
        <v>52</v>
      </c>
      <c r="D1715" t="s">
        <v>2159</v>
      </c>
      <c r="F1715" t="s">
        <v>52</v>
      </c>
      <c r="K1715" t="s">
        <v>2159</v>
      </c>
      <c r="O1715" t="s">
        <v>2159</v>
      </c>
      <c r="Q1715" t="s">
        <v>52</v>
      </c>
      <c r="S1715" t="s">
        <v>2159</v>
      </c>
      <c r="T1715" t="s">
        <v>86</v>
      </c>
      <c r="U1715" t="s">
        <v>86</v>
      </c>
    </row>
    <row r="1716" spans="1:21" x14ac:dyDescent="0.3">
      <c r="A1716" t="s">
        <v>835</v>
      </c>
      <c r="B1716" t="s">
        <v>52</v>
      </c>
      <c r="D1716" t="s">
        <v>2159</v>
      </c>
      <c r="F1716" t="s">
        <v>52</v>
      </c>
      <c r="K1716" t="s">
        <v>2159</v>
      </c>
      <c r="O1716" t="s">
        <v>2159</v>
      </c>
      <c r="Q1716" t="s">
        <v>52</v>
      </c>
      <c r="S1716" t="s">
        <v>2159</v>
      </c>
      <c r="T1716" t="s">
        <v>86</v>
      </c>
      <c r="U1716" t="s">
        <v>86</v>
      </c>
    </row>
    <row r="1717" spans="1:21" x14ac:dyDescent="0.3">
      <c r="A1717" t="s">
        <v>852</v>
      </c>
      <c r="B1717" t="s">
        <v>52</v>
      </c>
      <c r="D1717" t="s">
        <v>2159</v>
      </c>
      <c r="F1717" t="s">
        <v>52</v>
      </c>
      <c r="K1717" t="s">
        <v>2159</v>
      </c>
      <c r="O1717" t="s">
        <v>2159</v>
      </c>
      <c r="Q1717" t="s">
        <v>52</v>
      </c>
      <c r="S1717" t="s">
        <v>2159</v>
      </c>
      <c r="T1717" t="s">
        <v>86</v>
      </c>
      <c r="U1717" t="s">
        <v>86</v>
      </c>
    </row>
    <row r="1718" spans="1:21" x14ac:dyDescent="0.3">
      <c r="A1718" t="s">
        <v>864</v>
      </c>
      <c r="B1718" t="s">
        <v>52</v>
      </c>
      <c r="D1718" t="s">
        <v>2159</v>
      </c>
      <c r="F1718" t="s">
        <v>52</v>
      </c>
      <c r="K1718" t="s">
        <v>2159</v>
      </c>
      <c r="O1718" t="s">
        <v>2159</v>
      </c>
      <c r="Q1718" t="s">
        <v>52</v>
      </c>
      <c r="S1718" t="s">
        <v>2159</v>
      </c>
      <c r="T1718" t="s">
        <v>86</v>
      </c>
      <c r="U1718" t="s">
        <v>86</v>
      </c>
    </row>
    <row r="1719" spans="1:21" x14ac:dyDescent="0.3">
      <c r="A1719" t="s">
        <v>883</v>
      </c>
      <c r="B1719" t="s">
        <v>52</v>
      </c>
      <c r="D1719" t="s">
        <v>2159</v>
      </c>
      <c r="F1719" t="s">
        <v>52</v>
      </c>
      <c r="K1719" t="s">
        <v>2159</v>
      </c>
      <c r="O1719" t="s">
        <v>2159</v>
      </c>
      <c r="Q1719" t="s">
        <v>52</v>
      </c>
      <c r="S1719" t="s">
        <v>2159</v>
      </c>
      <c r="T1719" t="s">
        <v>86</v>
      </c>
      <c r="U1719" t="s">
        <v>86</v>
      </c>
    </row>
    <row r="1720" spans="1:21" x14ac:dyDescent="0.3">
      <c r="A1720" t="s">
        <v>902</v>
      </c>
      <c r="B1720" t="s">
        <v>251</v>
      </c>
      <c r="D1720" t="s">
        <v>2159</v>
      </c>
      <c r="F1720" t="s">
        <v>52</v>
      </c>
      <c r="K1720" t="s">
        <v>2159</v>
      </c>
      <c r="O1720" t="s">
        <v>2159</v>
      </c>
      <c r="Q1720" t="s">
        <v>52</v>
      </c>
      <c r="S1720" t="s">
        <v>2159</v>
      </c>
      <c r="T1720" t="s">
        <v>86</v>
      </c>
      <c r="U1720" t="s">
        <v>86</v>
      </c>
    </row>
    <row r="1721" spans="1:21" x14ac:dyDescent="0.3">
      <c r="A1721" t="s">
        <v>921</v>
      </c>
      <c r="B1721" t="s">
        <v>52</v>
      </c>
      <c r="D1721" t="s">
        <v>2159</v>
      </c>
      <c r="F1721" t="s">
        <v>52</v>
      </c>
      <c r="K1721" t="s">
        <v>2159</v>
      </c>
      <c r="O1721" t="s">
        <v>2159</v>
      </c>
      <c r="Q1721" t="s">
        <v>52</v>
      </c>
      <c r="S1721" t="s">
        <v>2159</v>
      </c>
      <c r="T1721" t="s">
        <v>86</v>
      </c>
      <c r="U1721" t="s">
        <v>86</v>
      </c>
    </row>
    <row r="1722" spans="1:21" x14ac:dyDescent="0.3">
      <c r="A1722" t="s">
        <v>941</v>
      </c>
      <c r="B1722" t="s">
        <v>251</v>
      </c>
      <c r="D1722" t="s">
        <v>2159</v>
      </c>
      <c r="F1722" t="s">
        <v>52</v>
      </c>
      <c r="K1722" t="s">
        <v>2159</v>
      </c>
      <c r="O1722" t="s">
        <v>2159</v>
      </c>
      <c r="Q1722" t="s">
        <v>52</v>
      </c>
      <c r="S1722" t="s">
        <v>2159</v>
      </c>
      <c r="T1722" t="s">
        <v>86</v>
      </c>
      <c r="U1722" t="s">
        <v>86</v>
      </c>
    </row>
    <row r="1723" spans="1:21" x14ac:dyDescent="0.3">
      <c r="A1723" t="s">
        <v>958</v>
      </c>
      <c r="B1723" t="s">
        <v>52</v>
      </c>
      <c r="D1723" t="s">
        <v>2159</v>
      </c>
      <c r="F1723" t="s">
        <v>52</v>
      </c>
      <c r="K1723" t="s">
        <v>2159</v>
      </c>
      <c r="O1723" t="s">
        <v>2159</v>
      </c>
      <c r="Q1723" t="s">
        <v>52</v>
      </c>
      <c r="S1723" t="s">
        <v>2159</v>
      </c>
      <c r="T1723" t="s">
        <v>86</v>
      </c>
      <c r="U1723" t="s">
        <v>86</v>
      </c>
    </row>
    <row r="1724" spans="1:21" x14ac:dyDescent="0.3">
      <c r="A1724" t="s">
        <v>972</v>
      </c>
      <c r="B1724" t="s">
        <v>52</v>
      </c>
      <c r="D1724" t="s">
        <v>2159</v>
      </c>
      <c r="F1724" t="s">
        <v>52</v>
      </c>
      <c r="K1724" t="s">
        <v>2159</v>
      </c>
      <c r="O1724" t="s">
        <v>2159</v>
      </c>
      <c r="Q1724" t="s">
        <v>52</v>
      </c>
      <c r="S1724" t="s">
        <v>2159</v>
      </c>
      <c r="T1724" t="s">
        <v>86</v>
      </c>
      <c r="U1724" t="s">
        <v>86</v>
      </c>
    </row>
    <row r="1725" spans="1:21" x14ac:dyDescent="0.3">
      <c r="A1725" t="s">
        <v>987</v>
      </c>
      <c r="B1725" t="s">
        <v>52</v>
      </c>
      <c r="D1725" t="s">
        <v>2159</v>
      </c>
      <c r="F1725" t="s">
        <v>52</v>
      </c>
      <c r="K1725" t="s">
        <v>2159</v>
      </c>
      <c r="O1725" t="s">
        <v>2159</v>
      </c>
      <c r="Q1725" t="s">
        <v>52</v>
      </c>
      <c r="S1725" t="s">
        <v>2159</v>
      </c>
      <c r="T1725" t="s">
        <v>86</v>
      </c>
      <c r="U1725" t="s">
        <v>86</v>
      </c>
    </row>
    <row r="1726" spans="1:21" x14ac:dyDescent="0.3">
      <c r="A1726" t="s">
        <v>1001</v>
      </c>
      <c r="B1726" t="s">
        <v>2159</v>
      </c>
      <c r="D1726" t="s">
        <v>2159</v>
      </c>
      <c r="F1726" t="s">
        <v>488</v>
      </c>
      <c r="K1726" t="s">
        <v>52</v>
      </c>
      <c r="O1726" t="s">
        <v>52</v>
      </c>
      <c r="Q1726" t="s">
        <v>488</v>
      </c>
      <c r="S1726" t="s">
        <v>52</v>
      </c>
      <c r="T1726" t="s">
        <v>52</v>
      </c>
      <c r="U1726" t="s">
        <v>52</v>
      </c>
    </row>
    <row r="1727" spans="1:21" x14ac:dyDescent="0.3">
      <c r="A1727" t="s">
        <v>1028</v>
      </c>
      <c r="B1727" t="s">
        <v>52</v>
      </c>
      <c r="D1727" t="s">
        <v>2159</v>
      </c>
      <c r="F1727" t="s">
        <v>52</v>
      </c>
      <c r="K1727" t="s">
        <v>2159</v>
      </c>
      <c r="O1727" t="s">
        <v>2159</v>
      </c>
      <c r="Q1727" t="s">
        <v>52</v>
      </c>
      <c r="S1727" t="s">
        <v>2159</v>
      </c>
      <c r="T1727" t="s">
        <v>86</v>
      </c>
      <c r="U1727" t="s">
        <v>86</v>
      </c>
    </row>
    <row r="1728" spans="1:21" x14ac:dyDescent="0.3">
      <c r="A1728" t="s">
        <v>1046</v>
      </c>
      <c r="B1728" t="s">
        <v>251</v>
      </c>
      <c r="D1728" t="s">
        <v>2159</v>
      </c>
      <c r="F1728" t="s">
        <v>52</v>
      </c>
      <c r="K1728" t="s">
        <v>2159</v>
      </c>
      <c r="O1728" t="s">
        <v>2159</v>
      </c>
      <c r="Q1728" t="s">
        <v>52</v>
      </c>
      <c r="S1728" t="s">
        <v>2159</v>
      </c>
      <c r="T1728" t="s">
        <v>86</v>
      </c>
      <c r="U1728" t="s">
        <v>86</v>
      </c>
    </row>
    <row r="1729" spans="1:23" x14ac:dyDescent="0.3">
      <c r="A1729" t="s">
        <v>1064</v>
      </c>
      <c r="B1729" t="s">
        <v>52</v>
      </c>
      <c r="D1729" t="s">
        <v>2159</v>
      </c>
      <c r="F1729" t="s">
        <v>52</v>
      </c>
      <c r="K1729" t="s">
        <v>2159</v>
      </c>
      <c r="O1729" t="s">
        <v>2159</v>
      </c>
      <c r="Q1729" t="s">
        <v>52</v>
      </c>
      <c r="S1729" t="s">
        <v>2159</v>
      </c>
      <c r="T1729" t="s">
        <v>86</v>
      </c>
      <c r="U1729" t="s">
        <v>86</v>
      </c>
    </row>
    <row r="1730" spans="1:23" x14ac:dyDescent="0.3">
      <c r="A1730" t="s">
        <v>1079</v>
      </c>
      <c r="B1730" t="s">
        <v>52</v>
      </c>
      <c r="D1730" t="s">
        <v>2159</v>
      </c>
      <c r="F1730" t="s">
        <v>52</v>
      </c>
      <c r="K1730" t="s">
        <v>2159</v>
      </c>
      <c r="O1730" t="s">
        <v>2159</v>
      </c>
      <c r="Q1730" t="s">
        <v>52</v>
      </c>
      <c r="S1730" t="s">
        <v>2159</v>
      </c>
      <c r="T1730" t="s">
        <v>86</v>
      </c>
      <c r="U1730" t="s">
        <v>86</v>
      </c>
    </row>
    <row r="1731" spans="1:23" x14ac:dyDescent="0.3">
      <c r="A1731" t="s">
        <v>1095</v>
      </c>
      <c r="B1731" t="s">
        <v>52</v>
      </c>
      <c r="D1731" t="s">
        <v>2159</v>
      </c>
      <c r="F1731" t="s">
        <v>52</v>
      </c>
      <c r="K1731" t="s">
        <v>2159</v>
      </c>
      <c r="O1731" t="s">
        <v>2159</v>
      </c>
      <c r="Q1731" t="s">
        <v>52</v>
      </c>
      <c r="S1731" t="s">
        <v>2159</v>
      </c>
      <c r="T1731" t="s">
        <v>86</v>
      </c>
      <c r="U1731" t="s">
        <v>86</v>
      </c>
    </row>
    <row r="1732" spans="1:23" x14ac:dyDescent="0.3">
      <c r="A1732" t="s">
        <v>1110</v>
      </c>
      <c r="B1732" t="s">
        <v>52</v>
      </c>
      <c r="D1732" t="s">
        <v>2159</v>
      </c>
      <c r="F1732" t="s">
        <v>52</v>
      </c>
      <c r="K1732" t="s">
        <v>2159</v>
      </c>
      <c r="O1732" t="s">
        <v>2159</v>
      </c>
      <c r="Q1732" t="s">
        <v>52</v>
      </c>
      <c r="S1732" t="s">
        <v>2159</v>
      </c>
      <c r="T1732" t="s">
        <v>86</v>
      </c>
      <c r="U1732" t="s">
        <v>86</v>
      </c>
    </row>
    <row r="1733" spans="1:23" x14ac:dyDescent="0.3">
      <c r="A1733" t="s">
        <v>1127</v>
      </c>
      <c r="B1733" t="s">
        <v>52</v>
      </c>
      <c r="D1733" t="s">
        <v>2159</v>
      </c>
      <c r="F1733" t="s">
        <v>52</v>
      </c>
      <c r="K1733" t="s">
        <v>2159</v>
      </c>
      <c r="O1733" t="s">
        <v>2159</v>
      </c>
      <c r="Q1733" t="s">
        <v>52</v>
      </c>
      <c r="S1733" t="s">
        <v>2159</v>
      </c>
      <c r="T1733" t="s">
        <v>86</v>
      </c>
      <c r="U1733" t="s">
        <v>86</v>
      </c>
    </row>
    <row r="1734" spans="1:23" x14ac:dyDescent="0.3">
      <c r="A1734" t="s">
        <v>1144</v>
      </c>
      <c r="B1734" t="s">
        <v>52</v>
      </c>
      <c r="D1734" t="s">
        <v>2159</v>
      </c>
      <c r="F1734" t="s">
        <v>52</v>
      </c>
      <c r="K1734" t="s">
        <v>2159</v>
      </c>
      <c r="O1734" t="s">
        <v>2159</v>
      </c>
      <c r="Q1734" t="s">
        <v>52</v>
      </c>
      <c r="S1734" t="s">
        <v>2159</v>
      </c>
      <c r="T1734" t="s">
        <v>86</v>
      </c>
      <c r="U1734" t="s">
        <v>86</v>
      </c>
    </row>
    <row r="1735" spans="1:23" x14ac:dyDescent="0.3">
      <c r="A1735" t="s">
        <v>1166</v>
      </c>
      <c r="B1735" t="s">
        <v>52</v>
      </c>
      <c r="D1735" t="s">
        <v>2159</v>
      </c>
      <c r="F1735" t="s">
        <v>52</v>
      </c>
      <c r="K1735" t="s">
        <v>2159</v>
      </c>
      <c r="O1735" t="s">
        <v>2159</v>
      </c>
      <c r="Q1735" t="s">
        <v>52</v>
      </c>
      <c r="S1735" t="s">
        <v>2159</v>
      </c>
      <c r="T1735" t="s">
        <v>86</v>
      </c>
      <c r="U1735" t="s">
        <v>86</v>
      </c>
    </row>
    <row r="1736" spans="1:23" s="4" customFormat="1" x14ac:dyDescent="0.3">
      <c r="A1736" s="4" t="s">
        <v>1203</v>
      </c>
      <c r="B1736" s="4" t="s">
        <v>2042</v>
      </c>
      <c r="D1736" s="4" t="s">
        <v>1274</v>
      </c>
      <c r="F1736" s="4" t="s">
        <v>488</v>
      </c>
      <c r="K1736" s="4" t="s">
        <v>2425</v>
      </c>
      <c r="M1736" s="4" t="s">
        <v>370</v>
      </c>
      <c r="O1736" s="4" t="s">
        <v>488</v>
      </c>
      <c r="S1736" s="4" t="s">
        <v>2425</v>
      </c>
      <c r="T1736" s="4" t="s">
        <v>488</v>
      </c>
      <c r="U1736" s="4" t="s">
        <v>52</v>
      </c>
    </row>
    <row r="1737" spans="1:23" s="4" customFormat="1" x14ac:dyDescent="0.3">
      <c r="A1737" s="4" t="s">
        <v>2300</v>
      </c>
      <c r="B1737" s="4" t="s">
        <v>52</v>
      </c>
      <c r="D1737" s="4" t="s">
        <v>443</v>
      </c>
      <c r="F1737" s="4" t="s">
        <v>52</v>
      </c>
      <c r="K1737" s="4" t="s">
        <v>2159</v>
      </c>
      <c r="M1737" s="4" t="s">
        <v>2159</v>
      </c>
      <c r="O1737" s="4" t="s">
        <v>52</v>
      </c>
      <c r="S1737" s="4" t="s">
        <v>2159</v>
      </c>
      <c r="T1737" s="4" t="s">
        <v>86</v>
      </c>
      <c r="U1737" s="4" t="s">
        <v>86</v>
      </c>
    </row>
    <row r="1738" spans="1:23" s="4" customFormat="1" x14ac:dyDescent="0.3">
      <c r="A1738" s="4" t="s">
        <v>2303</v>
      </c>
      <c r="B1738" s="4" t="s">
        <v>52</v>
      </c>
      <c r="C1738" s="4" t="s">
        <v>71</v>
      </c>
      <c r="D1738" s="4" t="s">
        <v>2386</v>
      </c>
      <c r="E1738" s="4" t="s">
        <v>1772</v>
      </c>
      <c r="F1738" s="4" t="s">
        <v>52</v>
      </c>
      <c r="G1738" s="4" t="s">
        <v>52</v>
      </c>
      <c r="H1738" s="4" t="s">
        <v>1627</v>
      </c>
      <c r="I1738" s="4" t="s">
        <v>110</v>
      </c>
      <c r="J1738" s="4" t="s">
        <v>554</v>
      </c>
      <c r="K1738" s="4" t="s">
        <v>2159</v>
      </c>
      <c r="L1738" s="4" t="s">
        <v>2159</v>
      </c>
      <c r="M1738" s="4" t="s">
        <v>2159</v>
      </c>
      <c r="O1738" s="4" t="s">
        <v>2159</v>
      </c>
      <c r="P1738" s="4" t="s">
        <v>52</v>
      </c>
      <c r="Q1738" s="4" t="s">
        <v>52</v>
      </c>
      <c r="R1738" s="4" t="s">
        <v>2159</v>
      </c>
      <c r="T1738" s="4" t="s">
        <v>86</v>
      </c>
      <c r="U1738" s="4" t="s">
        <v>86</v>
      </c>
      <c r="V1738" s="4" t="s">
        <v>158</v>
      </c>
      <c r="W1738" s="4" t="s">
        <v>228</v>
      </c>
    </row>
    <row r="1739" spans="1:23" s="4" customFormat="1" x14ac:dyDescent="0.3">
      <c r="A1739" s="4" t="s">
        <v>2306</v>
      </c>
      <c r="B1739" s="4" t="s">
        <v>52</v>
      </c>
      <c r="C1739" s="4" t="s">
        <v>1259</v>
      </c>
      <c r="D1739" s="4" t="s">
        <v>1121</v>
      </c>
      <c r="E1739" s="4" t="s">
        <v>1921</v>
      </c>
      <c r="F1739" s="4" t="s">
        <v>52</v>
      </c>
      <c r="G1739" s="4" t="s">
        <v>52</v>
      </c>
      <c r="H1739" s="4" t="s">
        <v>1197</v>
      </c>
      <c r="I1739" s="4" t="s">
        <v>439</v>
      </c>
      <c r="J1739" s="4" t="s">
        <v>201</v>
      </c>
      <c r="K1739" s="4" t="s">
        <v>2159</v>
      </c>
      <c r="L1739" s="4" t="s">
        <v>2159</v>
      </c>
      <c r="M1739" s="4" t="s">
        <v>2159</v>
      </c>
      <c r="O1739" s="4" t="s">
        <v>2159</v>
      </c>
      <c r="P1739" s="4" t="s">
        <v>52</v>
      </c>
      <c r="Q1739" s="4" t="s">
        <v>52</v>
      </c>
      <c r="R1739" s="4" t="s">
        <v>2159</v>
      </c>
      <c r="T1739" s="4" t="s">
        <v>86</v>
      </c>
      <c r="U1739" s="4" t="s">
        <v>86</v>
      </c>
      <c r="V1739" s="4" t="s">
        <v>274</v>
      </c>
      <c r="W1739" s="4" t="s">
        <v>60</v>
      </c>
    </row>
    <row r="1740" spans="1:23" s="4" customFormat="1" x14ac:dyDescent="0.3">
      <c r="A1740" s="4" t="s">
        <v>2262</v>
      </c>
      <c r="B1740" s="4" t="s">
        <v>52</v>
      </c>
      <c r="C1740" s="4" t="s">
        <v>224</v>
      </c>
      <c r="D1740" s="4" t="s">
        <v>2426</v>
      </c>
      <c r="E1740" s="4" t="s">
        <v>478</v>
      </c>
      <c r="F1740" s="4" t="s">
        <v>52</v>
      </c>
      <c r="G1740" s="4" t="s">
        <v>52</v>
      </c>
      <c r="H1740" s="4" t="s">
        <v>1197</v>
      </c>
      <c r="I1740" s="4" t="s">
        <v>1197</v>
      </c>
      <c r="J1740" s="4" t="s">
        <v>1197</v>
      </c>
      <c r="K1740" s="4" t="s">
        <v>2159</v>
      </c>
      <c r="L1740" s="4" t="s">
        <v>2159</v>
      </c>
      <c r="M1740" s="4" t="s">
        <v>2159</v>
      </c>
      <c r="O1740" s="4" t="s">
        <v>2159</v>
      </c>
      <c r="P1740" s="4" t="s">
        <v>52</v>
      </c>
      <c r="Q1740" s="4" t="s">
        <v>52</v>
      </c>
      <c r="R1740" s="4" t="s">
        <v>2427</v>
      </c>
      <c r="T1740" s="4" t="s">
        <v>86</v>
      </c>
      <c r="U1740" s="4" t="s">
        <v>86</v>
      </c>
      <c r="V1740" s="4" t="s">
        <v>274</v>
      </c>
      <c r="W1740" s="4" t="s">
        <v>158</v>
      </c>
    </row>
    <row r="1741" spans="1:23" s="4" customFormat="1" x14ac:dyDescent="0.3">
      <c r="A1741" s="4" t="s">
        <v>2277</v>
      </c>
      <c r="B1741" s="4" t="s">
        <v>52</v>
      </c>
      <c r="C1741" s="4" t="s">
        <v>138</v>
      </c>
      <c r="D1741" s="4" t="s">
        <v>1162</v>
      </c>
      <c r="E1741" s="4" t="s">
        <v>2428</v>
      </c>
      <c r="F1741" s="4" t="s">
        <v>52</v>
      </c>
      <c r="G1741" s="4" t="s">
        <v>488</v>
      </c>
      <c r="H1741" s="4" t="s">
        <v>1992</v>
      </c>
      <c r="I1741" s="4" t="s">
        <v>2429</v>
      </c>
      <c r="J1741" s="4" t="s">
        <v>318</v>
      </c>
      <c r="K1741" s="4" t="s">
        <v>2159</v>
      </c>
      <c r="L1741" s="4" t="s">
        <v>2425</v>
      </c>
      <c r="M1741" s="4" t="s">
        <v>2159</v>
      </c>
      <c r="O1741" s="4" t="s">
        <v>370</v>
      </c>
      <c r="P1741" s="4" t="s">
        <v>52</v>
      </c>
      <c r="Q1741" s="4" t="s">
        <v>488</v>
      </c>
      <c r="R1741" s="4" t="s">
        <v>2159</v>
      </c>
      <c r="T1741" s="4" t="s">
        <v>86</v>
      </c>
      <c r="U1741" s="4" t="s">
        <v>86</v>
      </c>
      <c r="V1741" s="4" t="s">
        <v>94</v>
      </c>
      <c r="W1741" s="4" t="s">
        <v>158</v>
      </c>
    </row>
    <row r="1742" spans="1:23" s="4" customFormat="1" x14ac:dyDescent="0.3"/>
    <row r="1744" spans="1:23" x14ac:dyDescent="0.3">
      <c r="A1744" s="23" t="s">
        <v>2257</v>
      </c>
      <c r="B1744" s="24"/>
      <c r="C1744" s="24"/>
      <c r="D1744" s="24"/>
      <c r="E1744" s="24"/>
    </row>
    <row r="1745" spans="1:16" x14ac:dyDescent="0.3">
      <c r="B1745" t="s">
        <v>2139</v>
      </c>
      <c r="C1745" t="s">
        <v>2141</v>
      </c>
      <c r="D1745" t="s">
        <v>2143</v>
      </c>
      <c r="E1745" t="s">
        <v>10</v>
      </c>
      <c r="F1745" t="s">
        <v>10</v>
      </c>
      <c r="G1745" t="s">
        <v>10</v>
      </c>
      <c r="H1745" t="s">
        <v>2145</v>
      </c>
      <c r="I1745" t="s">
        <v>2147</v>
      </c>
      <c r="J1745" t="s">
        <v>2149</v>
      </c>
      <c r="K1745" t="s">
        <v>2151</v>
      </c>
      <c r="L1745" t="s">
        <v>2152</v>
      </c>
      <c r="O1745" t="s">
        <v>15</v>
      </c>
      <c r="P1745" t="s">
        <v>15</v>
      </c>
    </row>
    <row r="1746" spans="1:16" x14ac:dyDescent="0.3">
      <c r="B1746" t="s">
        <v>2153</v>
      </c>
      <c r="C1746" t="s">
        <v>2153</v>
      </c>
      <c r="D1746" t="s">
        <v>2061</v>
      </c>
      <c r="E1746" t="s">
        <v>19</v>
      </c>
      <c r="F1746" t="s">
        <v>19</v>
      </c>
      <c r="G1746" t="s">
        <v>19</v>
      </c>
      <c r="H1746" t="s">
        <v>2153</v>
      </c>
      <c r="I1746" t="s">
        <v>2153</v>
      </c>
      <c r="J1746" t="s">
        <v>2061</v>
      </c>
      <c r="K1746" t="s">
        <v>2061</v>
      </c>
      <c r="L1746" t="s">
        <v>2061</v>
      </c>
      <c r="O1746" t="s">
        <v>2155</v>
      </c>
      <c r="P1746" t="s">
        <v>2155</v>
      </c>
    </row>
    <row r="1747" spans="1:16" x14ac:dyDescent="0.3">
      <c r="A1747" t="s">
        <v>39</v>
      </c>
      <c r="B1747" t="s">
        <v>2156</v>
      </c>
      <c r="C1747" t="s">
        <v>2156</v>
      </c>
      <c r="D1747" t="s">
        <v>2156</v>
      </c>
      <c r="E1747" t="s">
        <v>2157</v>
      </c>
      <c r="F1747" t="s">
        <v>45</v>
      </c>
      <c r="G1747" t="s">
        <v>41</v>
      </c>
      <c r="H1747" t="s">
        <v>2156</v>
      </c>
      <c r="I1747" t="s">
        <v>2156</v>
      </c>
      <c r="J1747" t="s">
        <v>2156</v>
      </c>
      <c r="K1747" t="s">
        <v>2156</v>
      </c>
      <c r="L1747" t="s">
        <v>2156</v>
      </c>
      <c r="O1747" t="s">
        <v>2157</v>
      </c>
      <c r="P1747" t="s">
        <v>45</v>
      </c>
    </row>
    <row r="1748" spans="1:16" x14ac:dyDescent="0.3">
      <c r="A1748" t="s">
        <v>666</v>
      </c>
      <c r="B1748" t="s">
        <v>2165</v>
      </c>
      <c r="C1748" t="s">
        <v>2165</v>
      </c>
      <c r="D1748" t="s">
        <v>2165</v>
      </c>
      <c r="E1748" t="s">
        <v>2165</v>
      </c>
      <c r="F1748" t="s">
        <v>2165</v>
      </c>
      <c r="G1748" t="s">
        <v>2165</v>
      </c>
      <c r="H1748" t="s">
        <v>2165</v>
      </c>
      <c r="I1748" t="s">
        <v>2165</v>
      </c>
      <c r="J1748" t="s">
        <v>2165</v>
      </c>
      <c r="K1748" t="s">
        <v>2165</v>
      </c>
      <c r="L1748" t="s">
        <v>2165</v>
      </c>
      <c r="O1748" t="s">
        <v>2165</v>
      </c>
      <c r="P1748" t="s">
        <v>2165</v>
      </c>
    </row>
    <row r="1749" spans="1:16" x14ac:dyDescent="0.3">
      <c r="A1749" t="s">
        <v>718</v>
      </c>
      <c r="B1749" t="s">
        <v>445</v>
      </c>
      <c r="C1749" t="s">
        <v>2159</v>
      </c>
      <c r="D1749" t="s">
        <v>52</v>
      </c>
      <c r="E1749" t="s">
        <v>2196</v>
      </c>
      <c r="F1749" t="s">
        <v>1570</v>
      </c>
      <c r="G1749" t="s">
        <v>789</v>
      </c>
      <c r="H1749" t="s">
        <v>2159</v>
      </c>
      <c r="I1749" t="s">
        <v>2159</v>
      </c>
      <c r="J1749" t="s">
        <v>52</v>
      </c>
      <c r="K1749" t="s">
        <v>86</v>
      </c>
      <c r="L1749" t="s">
        <v>86</v>
      </c>
      <c r="O1749" t="s">
        <v>274</v>
      </c>
      <c r="P1749" t="s">
        <v>263</v>
      </c>
    </row>
    <row r="1750" spans="1:16" x14ac:dyDescent="0.3">
      <c r="A1750" t="s">
        <v>762</v>
      </c>
      <c r="B1750" t="s">
        <v>307</v>
      </c>
      <c r="C1750" t="s">
        <v>2159</v>
      </c>
      <c r="D1750" t="s">
        <v>52</v>
      </c>
      <c r="E1750" t="s">
        <v>2258</v>
      </c>
      <c r="F1750" t="s">
        <v>381</v>
      </c>
      <c r="G1750" t="s">
        <v>2259</v>
      </c>
      <c r="H1750" t="s">
        <v>2159</v>
      </c>
      <c r="I1750" t="s">
        <v>2159</v>
      </c>
      <c r="J1750" t="s">
        <v>52</v>
      </c>
      <c r="K1750" t="s">
        <v>86</v>
      </c>
      <c r="L1750" t="s">
        <v>86</v>
      </c>
      <c r="O1750" t="s">
        <v>158</v>
      </c>
      <c r="P1750" t="s">
        <v>388</v>
      </c>
    </row>
    <row r="1751" spans="1:16" x14ac:dyDescent="0.3">
      <c r="A1751" t="s">
        <v>807</v>
      </c>
      <c r="B1751" t="s">
        <v>52</v>
      </c>
      <c r="C1751" t="s">
        <v>2159</v>
      </c>
      <c r="D1751" t="s">
        <v>52</v>
      </c>
      <c r="E1751" t="s">
        <v>611</v>
      </c>
      <c r="F1751" t="s">
        <v>2199</v>
      </c>
      <c r="G1751" t="s">
        <v>2200</v>
      </c>
      <c r="H1751" t="s">
        <v>2159</v>
      </c>
      <c r="I1751" t="s">
        <v>2159</v>
      </c>
      <c r="J1751" t="s">
        <v>52</v>
      </c>
      <c r="K1751" t="s">
        <v>86</v>
      </c>
      <c r="L1751" t="s">
        <v>86</v>
      </c>
      <c r="O1751" t="s">
        <v>63</v>
      </c>
      <c r="P1751" t="s">
        <v>60</v>
      </c>
    </row>
    <row r="1752" spans="1:16" x14ac:dyDescent="0.3">
      <c r="A1752" t="s">
        <v>846</v>
      </c>
      <c r="B1752" t="s">
        <v>307</v>
      </c>
      <c r="C1752" t="s">
        <v>2159</v>
      </c>
      <c r="D1752" t="s">
        <v>52</v>
      </c>
      <c r="E1752" t="s">
        <v>2201</v>
      </c>
      <c r="F1752" t="s">
        <v>684</v>
      </c>
      <c r="G1752" t="s">
        <v>689</v>
      </c>
      <c r="H1752" t="s">
        <v>2159</v>
      </c>
      <c r="I1752" t="s">
        <v>2159</v>
      </c>
      <c r="J1752" t="s">
        <v>52</v>
      </c>
      <c r="K1752" t="s">
        <v>86</v>
      </c>
      <c r="L1752" t="s">
        <v>86</v>
      </c>
      <c r="O1752" t="s">
        <v>172</v>
      </c>
      <c r="P1752" t="s">
        <v>274</v>
      </c>
    </row>
    <row r="1753" spans="1:16" x14ac:dyDescent="0.3">
      <c r="A1753" t="s">
        <v>875</v>
      </c>
      <c r="B1753" t="s">
        <v>52</v>
      </c>
      <c r="C1753" t="s">
        <v>2159</v>
      </c>
      <c r="D1753" t="s">
        <v>52</v>
      </c>
      <c r="E1753" t="s">
        <v>1228</v>
      </c>
      <c r="F1753" t="s">
        <v>2201</v>
      </c>
      <c r="G1753" t="s">
        <v>1629</v>
      </c>
      <c r="H1753" t="s">
        <v>2159</v>
      </c>
      <c r="I1753" t="s">
        <v>2159</v>
      </c>
      <c r="J1753" t="s">
        <v>52</v>
      </c>
      <c r="K1753" t="s">
        <v>86</v>
      </c>
      <c r="L1753" t="s">
        <v>86</v>
      </c>
      <c r="O1753" t="s">
        <v>71</v>
      </c>
      <c r="P1753" t="s">
        <v>71</v>
      </c>
    </row>
    <row r="1754" spans="1:16" x14ac:dyDescent="0.3">
      <c r="A1754" t="s">
        <v>915</v>
      </c>
      <c r="B1754" t="s">
        <v>160</v>
      </c>
      <c r="C1754" t="s">
        <v>2159</v>
      </c>
      <c r="D1754" t="s">
        <v>52</v>
      </c>
      <c r="E1754" t="s">
        <v>2189</v>
      </c>
      <c r="F1754" t="s">
        <v>2260</v>
      </c>
      <c r="G1754" t="s">
        <v>2204</v>
      </c>
      <c r="H1754" t="s">
        <v>2159</v>
      </c>
      <c r="I1754" t="s">
        <v>2159</v>
      </c>
      <c r="J1754" t="s">
        <v>52</v>
      </c>
      <c r="K1754" t="s">
        <v>86</v>
      </c>
      <c r="L1754" t="s">
        <v>86</v>
      </c>
      <c r="O1754" t="s">
        <v>70</v>
      </c>
      <c r="P1754" t="s">
        <v>158</v>
      </c>
    </row>
    <row r="1755" spans="1:16" x14ac:dyDescent="0.3">
      <c r="A1755" t="s">
        <v>953</v>
      </c>
      <c r="B1755" t="s">
        <v>409</v>
      </c>
      <c r="C1755" t="s">
        <v>2159</v>
      </c>
      <c r="D1755" t="s">
        <v>52</v>
      </c>
      <c r="E1755" t="s">
        <v>2205</v>
      </c>
      <c r="F1755" t="s">
        <v>2206</v>
      </c>
      <c r="G1755" t="s">
        <v>2207</v>
      </c>
      <c r="H1755" t="s">
        <v>2159</v>
      </c>
      <c r="I1755" t="s">
        <v>2159</v>
      </c>
      <c r="J1755" t="s">
        <v>52</v>
      </c>
      <c r="K1755" t="s">
        <v>86</v>
      </c>
      <c r="L1755" t="s">
        <v>86</v>
      </c>
      <c r="O1755" t="s">
        <v>228</v>
      </c>
      <c r="P1755" t="s">
        <v>133</v>
      </c>
    </row>
    <row r="1756" spans="1:16" x14ac:dyDescent="0.3">
      <c r="A1756" t="s">
        <v>983</v>
      </c>
      <c r="B1756" t="s">
        <v>134</v>
      </c>
      <c r="C1756" t="s">
        <v>2159</v>
      </c>
      <c r="D1756" t="s">
        <v>52</v>
      </c>
      <c r="E1756" t="s">
        <v>2208</v>
      </c>
      <c r="F1756" t="s">
        <v>2209</v>
      </c>
      <c r="G1756" t="s">
        <v>2261</v>
      </c>
      <c r="H1756" t="s">
        <v>2159</v>
      </c>
      <c r="I1756" t="s">
        <v>2159</v>
      </c>
      <c r="J1756" t="s">
        <v>52</v>
      </c>
      <c r="K1756" t="s">
        <v>86</v>
      </c>
      <c r="L1756" t="s">
        <v>86</v>
      </c>
      <c r="O1756" t="s">
        <v>133</v>
      </c>
      <c r="P1756" t="s">
        <v>60</v>
      </c>
    </row>
    <row r="1757" spans="1:16" x14ac:dyDescent="0.3">
      <c r="A1757" t="s">
        <v>1018</v>
      </c>
      <c r="B1757" t="s">
        <v>327</v>
      </c>
      <c r="C1757" t="s">
        <v>2159</v>
      </c>
      <c r="D1757" t="s">
        <v>52</v>
      </c>
      <c r="E1757" t="s">
        <v>2211</v>
      </c>
      <c r="F1757" t="s">
        <v>2212</v>
      </c>
      <c r="G1757" t="s">
        <v>2213</v>
      </c>
      <c r="H1757" t="s">
        <v>2159</v>
      </c>
      <c r="I1757" t="s">
        <v>2159</v>
      </c>
      <c r="J1757" t="s">
        <v>52</v>
      </c>
      <c r="K1757" t="s">
        <v>86</v>
      </c>
      <c r="L1757" t="s">
        <v>86</v>
      </c>
      <c r="O1757" t="s">
        <v>158</v>
      </c>
      <c r="P1757" t="s">
        <v>274</v>
      </c>
    </row>
    <row r="1758" spans="1:16" x14ac:dyDescent="0.3">
      <c r="A1758" t="s">
        <v>1059</v>
      </c>
      <c r="B1758" t="s">
        <v>71</v>
      </c>
      <c r="C1758" t="s">
        <v>2159</v>
      </c>
      <c r="D1758" t="s">
        <v>52</v>
      </c>
      <c r="E1758" t="s">
        <v>862</v>
      </c>
      <c r="F1758" t="s">
        <v>2214</v>
      </c>
      <c r="G1758" t="s">
        <v>372</v>
      </c>
      <c r="H1758" t="s">
        <v>2159</v>
      </c>
      <c r="I1758" t="s">
        <v>2159</v>
      </c>
      <c r="J1758" t="s">
        <v>52</v>
      </c>
      <c r="K1758" t="s">
        <v>86</v>
      </c>
      <c r="L1758" t="s">
        <v>86</v>
      </c>
      <c r="O1758" t="s">
        <v>147</v>
      </c>
      <c r="P1758" t="s">
        <v>60</v>
      </c>
    </row>
    <row r="1759" spans="1:16" x14ac:dyDescent="0.3">
      <c r="A1759" t="s">
        <v>1089</v>
      </c>
      <c r="B1759" t="s">
        <v>52</v>
      </c>
      <c r="C1759" t="s">
        <v>2159</v>
      </c>
      <c r="D1759" t="s">
        <v>52</v>
      </c>
      <c r="E1759" t="s">
        <v>2215</v>
      </c>
      <c r="F1759" t="s">
        <v>539</v>
      </c>
      <c r="G1759" t="s">
        <v>2202</v>
      </c>
      <c r="H1759" t="s">
        <v>2159</v>
      </c>
      <c r="I1759" t="s">
        <v>2159</v>
      </c>
      <c r="J1759" t="s">
        <v>52</v>
      </c>
      <c r="K1759" t="s">
        <v>86</v>
      </c>
      <c r="L1759" t="s">
        <v>86</v>
      </c>
      <c r="O1759" t="s">
        <v>133</v>
      </c>
      <c r="P1759" t="s">
        <v>158</v>
      </c>
    </row>
    <row r="1760" spans="1:16" x14ac:dyDescent="0.3">
      <c r="A1760" t="s">
        <v>1123</v>
      </c>
      <c r="B1760" t="s">
        <v>251</v>
      </c>
      <c r="C1760" t="s">
        <v>2159</v>
      </c>
      <c r="D1760" t="s">
        <v>52</v>
      </c>
      <c r="E1760" t="s">
        <v>1747</v>
      </c>
      <c r="F1760" t="s">
        <v>2216</v>
      </c>
      <c r="G1760" t="s">
        <v>2217</v>
      </c>
      <c r="H1760" t="s">
        <v>2159</v>
      </c>
      <c r="I1760" t="s">
        <v>2159</v>
      </c>
      <c r="J1760" t="s">
        <v>52</v>
      </c>
      <c r="K1760" t="s">
        <v>86</v>
      </c>
      <c r="L1760" t="s">
        <v>86</v>
      </c>
      <c r="O1760" t="s">
        <v>133</v>
      </c>
      <c r="P1760" t="s">
        <v>158</v>
      </c>
    </row>
    <row r="1761" spans="1:16" x14ac:dyDescent="0.3">
      <c r="A1761" t="s">
        <v>1159</v>
      </c>
      <c r="B1761" t="s">
        <v>71</v>
      </c>
      <c r="C1761" t="s">
        <v>2159</v>
      </c>
      <c r="D1761" t="s">
        <v>52</v>
      </c>
      <c r="E1761" t="s">
        <v>96</v>
      </c>
      <c r="F1761" t="s">
        <v>486</v>
      </c>
      <c r="G1761" t="s">
        <v>107</v>
      </c>
      <c r="H1761" t="s">
        <v>2159</v>
      </c>
      <c r="I1761" t="s">
        <v>2159</v>
      </c>
      <c r="J1761" t="s">
        <v>52</v>
      </c>
      <c r="K1761" t="s">
        <v>86</v>
      </c>
      <c r="L1761" t="s">
        <v>86</v>
      </c>
      <c r="O1761" t="s">
        <v>71</v>
      </c>
      <c r="P1761" t="s">
        <v>60</v>
      </c>
    </row>
    <row r="1762" spans="1:16" x14ac:dyDescent="0.3">
      <c r="A1762" s="4" t="s">
        <v>2299</v>
      </c>
      <c r="B1762" s="4" t="s">
        <v>2159</v>
      </c>
      <c r="C1762" s="4" t="s">
        <v>2430</v>
      </c>
      <c r="D1762" s="1" t="s">
        <v>488</v>
      </c>
      <c r="E1762" s="4" t="s">
        <v>1533</v>
      </c>
      <c r="F1762" s="4" t="s">
        <v>2433</v>
      </c>
      <c r="G1762" s="4" t="s">
        <v>1297</v>
      </c>
      <c r="H1762" s="4" t="s">
        <v>150</v>
      </c>
      <c r="I1762" s="4" t="s">
        <v>150</v>
      </c>
      <c r="J1762" s="1" t="s">
        <v>488</v>
      </c>
      <c r="K1762" s="1" t="s">
        <v>488</v>
      </c>
      <c r="L1762" s="1" t="s">
        <v>488</v>
      </c>
      <c r="O1762" s="4" t="s">
        <v>94</v>
      </c>
      <c r="P1762" s="4" t="s">
        <v>249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A1:O1"/>
    <mergeCell ref="A2:O2"/>
    <mergeCell ref="A3:O3"/>
    <mergeCell ref="A4:O4"/>
    <mergeCell ref="A8:E8"/>
    <mergeCell ref="A229:E229"/>
    <mergeCell ref="A305:E305"/>
    <mergeCell ref="A322:E322"/>
    <mergeCell ref="A505:E505"/>
    <mergeCell ref="A665:E665"/>
    <mergeCell ref="A718:E718"/>
    <mergeCell ref="A735:E735"/>
    <mergeCell ref="A895:E895"/>
    <mergeCell ref="A1086:E1086"/>
    <mergeCell ref="A1139:E1139"/>
    <mergeCell ref="A1156:E1156"/>
    <mergeCell ref="A1316:E1316"/>
    <mergeCell ref="A1333:E1333"/>
    <mergeCell ref="A1350:E1350"/>
    <mergeCell ref="A1367:E1367"/>
    <mergeCell ref="A1384:E1384"/>
    <mergeCell ref="A1401:E1401"/>
    <mergeCell ref="A1418:E1418"/>
    <mergeCell ref="A1435:E1435"/>
    <mergeCell ref="A1452:E1452"/>
    <mergeCell ref="A1681:E1681"/>
    <mergeCell ref="A1744:E1744"/>
    <mergeCell ref="A1469:E1469"/>
    <mergeCell ref="A1499:E1499"/>
    <mergeCell ref="A1566:E1566"/>
    <mergeCell ref="A1586:E1586"/>
    <mergeCell ref="A1650:E1650"/>
    <mergeCell ref="A1488:E1488"/>
    <mergeCell ref="A1671:E16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D159"/>
  <sheetViews>
    <sheetView workbookViewId="0">
      <selection activeCell="D5" sqref="D5:D159"/>
    </sheetView>
  </sheetViews>
  <sheetFormatPr defaultRowHeight="14.4" x14ac:dyDescent="0.3"/>
  <sheetData>
    <row r="5" spans="1:4" x14ac:dyDescent="0.3">
      <c r="A5" s="2">
        <v>6.4210000000000003</v>
      </c>
      <c r="D5" s="2">
        <v>12.48</v>
      </c>
    </row>
    <row r="6" spans="1:4" x14ac:dyDescent="0.3">
      <c r="A6" s="2">
        <v>5.9770000000000003</v>
      </c>
      <c r="D6" s="2">
        <v>8.89</v>
      </c>
    </row>
    <row r="7" spans="1:4" x14ac:dyDescent="0.3">
      <c r="A7" s="2">
        <v>6.0190000000000001</v>
      </c>
      <c r="D7" s="2">
        <v>13.08</v>
      </c>
    </row>
    <row r="8" spans="1:4" x14ac:dyDescent="0.3">
      <c r="A8" s="2">
        <v>9.4329999999999998</v>
      </c>
      <c r="D8" s="2">
        <v>12.14</v>
      </c>
    </row>
    <row r="9" spans="1:4" x14ac:dyDescent="0.3">
      <c r="A9" s="2">
        <v>6.78</v>
      </c>
      <c r="D9" s="2">
        <v>19.510000000000002</v>
      </c>
    </row>
    <row r="10" spans="1:4" x14ac:dyDescent="0.3">
      <c r="A10" s="2">
        <v>7.5549999999999997</v>
      </c>
      <c r="D10" s="2">
        <v>18.87</v>
      </c>
    </row>
    <row r="11" spans="1:4" x14ac:dyDescent="0.3">
      <c r="A11" s="2">
        <v>9.3859999999999992</v>
      </c>
      <c r="D11" s="2">
        <v>18.47</v>
      </c>
    </row>
    <row r="12" spans="1:4" x14ac:dyDescent="0.3">
      <c r="A12" s="2">
        <v>8.8789999999999996</v>
      </c>
      <c r="D12" s="2">
        <v>20.8</v>
      </c>
    </row>
    <row r="13" spans="1:4" x14ac:dyDescent="0.3">
      <c r="A13" s="2">
        <v>9.0449999999999999</v>
      </c>
      <c r="D13" s="2">
        <v>14.07</v>
      </c>
    </row>
    <row r="14" spans="1:4" x14ac:dyDescent="0.3">
      <c r="A14" s="2">
        <v>8.843</v>
      </c>
      <c r="D14" s="2">
        <v>12.02</v>
      </c>
    </row>
    <row r="15" spans="1:4" x14ac:dyDescent="0.3">
      <c r="A15" s="2">
        <v>8.9450000000000003</v>
      </c>
      <c r="D15" s="2">
        <v>13.972</v>
      </c>
    </row>
    <row r="16" spans="1:4" x14ac:dyDescent="0.3">
      <c r="A16" s="2">
        <v>8.7260000000000009</v>
      </c>
      <c r="D16" s="2">
        <v>11.24</v>
      </c>
    </row>
    <row r="17" spans="1:4" x14ac:dyDescent="0.3">
      <c r="A17" s="2">
        <v>7.6360000000000001</v>
      </c>
      <c r="D17" s="2">
        <v>9.59</v>
      </c>
    </row>
    <row r="18" spans="1:4" x14ac:dyDescent="0.3">
      <c r="A18" s="2">
        <v>6.7240000000000002</v>
      </c>
      <c r="D18" s="2">
        <v>9.3699999999999992</v>
      </c>
    </row>
    <row r="19" spans="1:4" x14ac:dyDescent="0.3">
      <c r="A19" s="2">
        <v>7.2629999999999999</v>
      </c>
      <c r="D19" s="2">
        <v>12.01</v>
      </c>
    </row>
    <row r="20" spans="1:4" x14ac:dyDescent="0.3">
      <c r="A20" s="2">
        <v>9.1</v>
      </c>
      <c r="D20" s="2">
        <v>14.1</v>
      </c>
    </row>
    <row r="21" spans="1:4" x14ac:dyDescent="0.3">
      <c r="A21" s="2">
        <v>8.9329999999999998</v>
      </c>
      <c r="D21" s="2">
        <v>14.46</v>
      </c>
    </row>
    <row r="22" spans="1:4" x14ac:dyDescent="0.3">
      <c r="A22" s="2">
        <v>10.042999999999999</v>
      </c>
      <c r="D22" s="2">
        <v>10.67</v>
      </c>
    </row>
    <row r="23" spans="1:4" x14ac:dyDescent="0.3">
      <c r="A23" s="2">
        <v>8.9550000000000001</v>
      </c>
      <c r="D23" s="2">
        <v>8.67</v>
      </c>
    </row>
    <row r="24" spans="1:4" x14ac:dyDescent="0.3">
      <c r="A24" s="2">
        <v>9.4580000000000002</v>
      </c>
      <c r="D24" s="2">
        <v>14.91</v>
      </c>
    </row>
    <row r="25" spans="1:4" x14ac:dyDescent="0.3">
      <c r="A25" s="2">
        <v>10.763999999999999</v>
      </c>
      <c r="D25" s="2">
        <v>16.510000000000002</v>
      </c>
    </row>
    <row r="26" spans="1:4" x14ac:dyDescent="0.3">
      <c r="A26" s="2">
        <v>8.7539999999999996</v>
      </c>
      <c r="D26" s="2">
        <v>10.73</v>
      </c>
    </row>
    <row r="27" spans="1:4" x14ac:dyDescent="0.3">
      <c r="A27" s="2">
        <v>9.0050000000000008</v>
      </c>
      <c r="D27" s="2">
        <v>10.92</v>
      </c>
    </row>
    <row r="28" spans="1:4" x14ac:dyDescent="0.3">
      <c r="A28" s="2">
        <v>8.2530000000000001</v>
      </c>
      <c r="D28" s="2">
        <v>6.67</v>
      </c>
    </row>
    <row r="29" spans="1:4" x14ac:dyDescent="0.3">
      <c r="A29" s="2">
        <v>7.1980000000000004</v>
      </c>
      <c r="D29" s="2">
        <v>7.26</v>
      </c>
    </row>
    <row r="30" spans="1:4" x14ac:dyDescent="0.3">
      <c r="A30" s="2">
        <v>6.2130000000000001</v>
      </c>
      <c r="D30" s="2">
        <v>37.235999999999997</v>
      </c>
    </row>
    <row r="31" spans="1:4" x14ac:dyDescent="0.3">
      <c r="A31" s="2">
        <v>5.9820000000000002</v>
      </c>
      <c r="D31" s="2">
        <v>8.83</v>
      </c>
    </row>
    <row r="32" spans="1:4" x14ac:dyDescent="0.3">
      <c r="A32" s="2">
        <v>6.5179999999999998</v>
      </c>
      <c r="D32" s="2">
        <v>11.8</v>
      </c>
    </row>
    <row r="33" spans="1:4" x14ac:dyDescent="0.3">
      <c r="A33" s="2">
        <v>7.2309999999999999</v>
      </c>
      <c r="D33" s="2">
        <v>12.74</v>
      </c>
    </row>
    <row r="34" spans="1:4" x14ac:dyDescent="0.3">
      <c r="A34" s="2">
        <v>8.4469999999999992</v>
      </c>
      <c r="D34" s="2">
        <v>10.29</v>
      </c>
    </row>
    <row r="35" spans="1:4" x14ac:dyDescent="0.3">
      <c r="A35" s="2">
        <v>9.84</v>
      </c>
      <c r="D35" s="2">
        <v>11.54</v>
      </c>
    </row>
    <row r="36" spans="1:4" x14ac:dyDescent="0.3">
      <c r="A36" s="2">
        <v>9.8249999999999993</v>
      </c>
      <c r="D36" s="2">
        <v>9.9</v>
      </c>
    </row>
    <row r="37" spans="1:4" x14ac:dyDescent="0.3">
      <c r="A37" s="2">
        <v>8.8179999999999996</v>
      </c>
      <c r="D37" s="2">
        <v>10.47</v>
      </c>
    </row>
    <row r="38" spans="1:4" x14ac:dyDescent="0.3">
      <c r="A38" s="2">
        <v>9.3480000000000008</v>
      </c>
      <c r="D38" s="2">
        <v>10.26</v>
      </c>
    </row>
    <row r="39" spans="1:4" x14ac:dyDescent="0.3">
      <c r="A39" s="2">
        <v>9.4209999999999994</v>
      </c>
      <c r="D39" s="2">
        <v>9.1999999999999993</v>
      </c>
    </row>
    <row r="40" spans="1:4" x14ac:dyDescent="0.3">
      <c r="A40" s="2">
        <v>9.1199999999999992</v>
      </c>
      <c r="D40" s="2">
        <v>7.87</v>
      </c>
    </row>
    <row r="41" spans="1:4" x14ac:dyDescent="0.3">
      <c r="A41" s="2">
        <v>8.5549999999999997</v>
      </c>
      <c r="D41" s="2">
        <v>9.76</v>
      </c>
    </row>
    <row r="42" spans="1:4" x14ac:dyDescent="0.3">
      <c r="A42" s="2">
        <v>7.78</v>
      </c>
      <c r="D42" s="2">
        <v>11.81</v>
      </c>
    </row>
    <row r="43" spans="1:4" x14ac:dyDescent="0.3">
      <c r="A43" s="2">
        <v>7.6779999999999999</v>
      </c>
      <c r="D43" s="2">
        <v>10.51</v>
      </c>
    </row>
    <row r="44" spans="1:4" x14ac:dyDescent="0.3">
      <c r="A44" s="2">
        <v>7.7450000000000001</v>
      </c>
      <c r="D44" s="2">
        <v>12.97</v>
      </c>
    </row>
    <row r="45" spans="1:4" x14ac:dyDescent="0.3">
      <c r="A45" s="2">
        <v>9.8089999999999993</v>
      </c>
      <c r="D45" s="2">
        <v>9.9600000000000009</v>
      </c>
    </row>
    <row r="46" spans="1:4" x14ac:dyDescent="0.3">
      <c r="A46" s="2">
        <v>10.547000000000001</v>
      </c>
      <c r="D46" s="2">
        <v>11.95</v>
      </c>
    </row>
    <row r="47" spans="1:4" x14ac:dyDescent="0.3">
      <c r="A47" s="2">
        <v>9.0250000000000004</v>
      </c>
      <c r="D47" s="2">
        <v>13.92</v>
      </c>
    </row>
    <row r="48" spans="1:4" x14ac:dyDescent="0.3">
      <c r="A48" s="2">
        <v>9.0269999999999992</v>
      </c>
      <c r="D48" s="2">
        <v>10.45</v>
      </c>
    </row>
    <row r="49" spans="1:4" x14ac:dyDescent="0.3">
      <c r="A49" s="2">
        <v>9.5649999999999995</v>
      </c>
      <c r="D49" s="2">
        <v>12.77</v>
      </c>
    </row>
    <row r="50" spans="1:4" x14ac:dyDescent="0.3">
      <c r="A50" s="2">
        <v>9.26</v>
      </c>
      <c r="D50" s="2">
        <v>9.4499999999999993</v>
      </c>
    </row>
    <row r="51" spans="1:4" x14ac:dyDescent="0.3">
      <c r="A51" s="2">
        <v>9.1210000000000004</v>
      </c>
      <c r="D51" s="2">
        <v>8.41</v>
      </c>
    </row>
    <row r="52" spans="1:4" x14ac:dyDescent="0.3">
      <c r="A52" s="2">
        <v>7.5979999999999999</v>
      </c>
      <c r="D52" s="2">
        <v>7.25</v>
      </c>
    </row>
    <row r="53" spans="1:4" x14ac:dyDescent="0.3">
      <c r="A53" s="2">
        <v>7.7039999999999997</v>
      </c>
      <c r="D53" s="2">
        <v>6.66</v>
      </c>
    </row>
    <row r="54" spans="1:4" x14ac:dyDescent="0.3">
      <c r="A54" s="2">
        <v>6.8650000000000002</v>
      </c>
      <c r="D54" s="2">
        <v>8.2100000000000009</v>
      </c>
    </row>
    <row r="55" spans="1:4" x14ac:dyDescent="0.3">
      <c r="A55" s="2">
        <v>8.6999999999999993</v>
      </c>
      <c r="D55" s="2">
        <v>8.02</v>
      </c>
    </row>
    <row r="56" spans="1:4" x14ac:dyDescent="0.3">
      <c r="A56" s="2">
        <v>9.1300000000000008</v>
      </c>
      <c r="D56" s="2">
        <v>10.64</v>
      </c>
    </row>
    <row r="57" spans="1:4" x14ac:dyDescent="0.3">
      <c r="A57" s="2">
        <v>8.82</v>
      </c>
      <c r="D57" s="2">
        <v>12.38</v>
      </c>
    </row>
    <row r="58" spans="1:4" x14ac:dyDescent="0.3">
      <c r="A58" s="2">
        <v>9.82</v>
      </c>
      <c r="D58" s="2">
        <v>10.89</v>
      </c>
    </row>
    <row r="59" spans="1:4" x14ac:dyDescent="0.3">
      <c r="A59" s="2">
        <v>9.69</v>
      </c>
      <c r="D59" s="2">
        <v>11.1</v>
      </c>
    </row>
    <row r="60" spans="1:4" x14ac:dyDescent="0.3">
      <c r="A60" s="2">
        <v>10.02</v>
      </c>
      <c r="D60" s="2">
        <v>11.08</v>
      </c>
    </row>
    <row r="61" spans="1:4" x14ac:dyDescent="0.3">
      <c r="A61" s="2">
        <v>9.85</v>
      </c>
      <c r="D61" s="2">
        <v>10.25</v>
      </c>
    </row>
    <row r="62" spans="1:4" x14ac:dyDescent="0.3">
      <c r="A62" s="2">
        <v>9.51</v>
      </c>
      <c r="D62" s="2">
        <v>10.28</v>
      </c>
    </row>
    <row r="63" spans="1:4" x14ac:dyDescent="0.3">
      <c r="A63" s="2">
        <v>8.91</v>
      </c>
      <c r="D63" s="2">
        <v>11.15</v>
      </c>
    </row>
    <row r="64" spans="1:4" x14ac:dyDescent="0.3">
      <c r="A64" s="2">
        <v>8.02</v>
      </c>
      <c r="D64" s="2">
        <v>9.7200000000000006</v>
      </c>
    </row>
    <row r="65" spans="1:4" x14ac:dyDescent="0.3">
      <c r="A65" s="2">
        <v>7.29</v>
      </c>
      <c r="D65" s="2">
        <v>9.15</v>
      </c>
    </row>
    <row r="66" spans="1:4" x14ac:dyDescent="0.3">
      <c r="A66" s="2">
        <v>7.18</v>
      </c>
      <c r="D66" s="2">
        <v>8.7200000000000006</v>
      </c>
    </row>
    <row r="67" spans="1:4" x14ac:dyDescent="0.3">
      <c r="A67" s="2">
        <v>7.52</v>
      </c>
      <c r="D67" s="2">
        <v>12.47</v>
      </c>
    </row>
    <row r="68" spans="1:4" x14ac:dyDescent="0.3">
      <c r="A68" s="2">
        <v>6.2892999999999999</v>
      </c>
      <c r="D68" s="2">
        <v>13.23</v>
      </c>
    </row>
    <row r="69" spans="1:4" x14ac:dyDescent="0.3">
      <c r="A69" s="2">
        <v>4.3</v>
      </c>
      <c r="D69" s="2">
        <v>14.34</v>
      </c>
    </row>
    <row r="70" spans="1:4" x14ac:dyDescent="0.3">
      <c r="A70" s="2">
        <v>8.27</v>
      </c>
      <c r="D70" s="2">
        <v>10.01</v>
      </c>
    </row>
    <row r="71" spans="1:4" x14ac:dyDescent="0.3">
      <c r="A71" s="2">
        <v>7.01</v>
      </c>
      <c r="D71" s="2">
        <v>10.83</v>
      </c>
    </row>
    <row r="72" spans="1:4" x14ac:dyDescent="0.3">
      <c r="A72" s="2">
        <v>9.48</v>
      </c>
      <c r="D72" s="2">
        <v>10.31</v>
      </c>
    </row>
    <row r="73" spans="1:4" x14ac:dyDescent="0.3">
      <c r="A73" s="2">
        <v>6.05</v>
      </c>
      <c r="D73" s="2">
        <v>10.67</v>
      </c>
    </row>
    <row r="74" spans="1:4" x14ac:dyDescent="0.3">
      <c r="A74" s="2">
        <v>5.4</v>
      </c>
      <c r="D74" s="2">
        <v>10.36</v>
      </c>
    </row>
    <row r="75" spans="1:4" x14ac:dyDescent="0.3">
      <c r="A75" s="2">
        <v>6.86</v>
      </c>
      <c r="D75" s="2">
        <v>9.4700000000000006</v>
      </c>
    </row>
    <row r="76" spans="1:4" x14ac:dyDescent="0.3">
      <c r="A76" s="2">
        <v>4.58</v>
      </c>
      <c r="D76" s="2">
        <v>8.3699999999999992</v>
      </c>
    </row>
    <row r="77" spans="1:4" x14ac:dyDescent="0.3">
      <c r="A77" s="2">
        <v>5.75</v>
      </c>
      <c r="D77" s="2">
        <v>9.9499999999999993</v>
      </c>
    </row>
    <row r="78" spans="1:4" x14ac:dyDescent="0.3">
      <c r="A78" s="2">
        <v>7.04</v>
      </c>
      <c r="D78" s="2">
        <v>10.82</v>
      </c>
    </row>
    <row r="79" spans="1:4" x14ac:dyDescent="0.3">
      <c r="A79" s="2">
        <v>5.83</v>
      </c>
      <c r="D79" s="2">
        <v>10.92</v>
      </c>
    </row>
    <row r="80" spans="1:4" x14ac:dyDescent="0.3">
      <c r="A80" s="2">
        <v>5.73</v>
      </c>
      <c r="D80" s="2">
        <v>11.59</v>
      </c>
    </row>
    <row r="81" spans="1:4" x14ac:dyDescent="0.3">
      <c r="A81" s="2">
        <v>8.16</v>
      </c>
      <c r="D81" s="2">
        <v>11.23</v>
      </c>
    </row>
    <row r="82" spans="1:4" x14ac:dyDescent="0.3">
      <c r="A82" s="2">
        <v>7.38</v>
      </c>
      <c r="D82" s="2">
        <v>11.27</v>
      </c>
    </row>
    <row r="83" spans="1:4" x14ac:dyDescent="0.3">
      <c r="A83" s="2">
        <v>14.79</v>
      </c>
      <c r="D83" s="2">
        <v>11.6</v>
      </c>
    </row>
    <row r="84" spans="1:4" x14ac:dyDescent="0.3">
      <c r="A84" s="2">
        <v>13.34</v>
      </c>
      <c r="D84" s="2">
        <v>12.76</v>
      </c>
    </row>
    <row r="85" spans="1:4" x14ac:dyDescent="0.3">
      <c r="A85" s="2">
        <v>8.86</v>
      </c>
      <c r="D85" s="2">
        <v>9.84</v>
      </c>
    </row>
    <row r="86" spans="1:4" x14ac:dyDescent="0.3">
      <c r="A86" s="2">
        <v>6.37</v>
      </c>
      <c r="D86" s="2">
        <v>8.5299999999999994</v>
      </c>
    </row>
    <row r="87" spans="1:4" x14ac:dyDescent="0.3">
      <c r="A87" s="2">
        <v>5.98</v>
      </c>
      <c r="D87" s="2">
        <v>8.27</v>
      </c>
    </row>
    <row r="88" spans="1:4" x14ac:dyDescent="0.3">
      <c r="A88" s="2">
        <v>6.27</v>
      </c>
      <c r="D88" s="2">
        <v>8.43</v>
      </c>
    </row>
    <row r="89" spans="1:4" x14ac:dyDescent="0.3">
      <c r="A89" s="2">
        <v>7.56</v>
      </c>
      <c r="D89" s="2">
        <v>9.5299999999999994</v>
      </c>
    </row>
    <row r="90" spans="1:4" x14ac:dyDescent="0.3">
      <c r="A90" s="2">
        <v>9.23</v>
      </c>
      <c r="D90" s="2">
        <v>9.52</v>
      </c>
    </row>
    <row r="91" spans="1:4" x14ac:dyDescent="0.3">
      <c r="A91" s="2">
        <v>8.5500000000000007</v>
      </c>
      <c r="D91" s="2">
        <v>7.83</v>
      </c>
    </row>
    <row r="92" spans="1:4" x14ac:dyDescent="0.3">
      <c r="A92" s="2">
        <v>7.01</v>
      </c>
      <c r="D92" s="2">
        <v>11.36</v>
      </c>
    </row>
    <row r="93" spans="1:4" x14ac:dyDescent="0.3">
      <c r="A93" s="2">
        <v>7.8</v>
      </c>
      <c r="D93" s="2">
        <v>9.9700000000000006</v>
      </c>
    </row>
    <row r="94" spans="1:4" x14ac:dyDescent="0.3">
      <c r="A94" s="2">
        <v>10.19</v>
      </c>
      <c r="D94" s="2">
        <v>11.41</v>
      </c>
    </row>
    <row r="95" spans="1:4" x14ac:dyDescent="0.3">
      <c r="A95" s="2">
        <v>11.71</v>
      </c>
      <c r="D95" s="2">
        <v>8.66</v>
      </c>
    </row>
    <row r="96" spans="1:4" x14ac:dyDescent="0.3">
      <c r="A96" s="2">
        <v>12.56</v>
      </c>
      <c r="D96" s="2">
        <v>8.4</v>
      </c>
    </row>
    <row r="97" spans="1:4" x14ac:dyDescent="0.3">
      <c r="A97" s="2">
        <v>9.73</v>
      </c>
      <c r="D97" s="2">
        <v>15.91</v>
      </c>
    </row>
    <row r="98" spans="1:4" x14ac:dyDescent="0.3">
      <c r="A98" s="2">
        <v>8.17</v>
      </c>
      <c r="D98" s="2">
        <v>7.44</v>
      </c>
    </row>
    <row r="99" spans="1:4" x14ac:dyDescent="0.3">
      <c r="A99" s="2">
        <v>9.23</v>
      </c>
      <c r="D99" s="2">
        <v>9.69</v>
      </c>
    </row>
    <row r="100" spans="1:4" x14ac:dyDescent="0.3">
      <c r="A100" s="2">
        <v>7.45</v>
      </c>
      <c r="D100" s="2">
        <v>15.5</v>
      </c>
    </row>
    <row r="101" spans="1:4" x14ac:dyDescent="0.3">
      <c r="A101" s="2">
        <v>8.19</v>
      </c>
      <c r="D101" s="2">
        <v>13.12</v>
      </c>
    </row>
    <row r="102" spans="1:4" x14ac:dyDescent="0.3">
      <c r="A102" s="2">
        <v>7.15</v>
      </c>
      <c r="D102" s="2">
        <v>9.86</v>
      </c>
    </row>
    <row r="103" spans="1:4" x14ac:dyDescent="0.3">
      <c r="A103" s="2">
        <v>7.84</v>
      </c>
      <c r="D103" s="2">
        <v>19.05</v>
      </c>
    </row>
    <row r="104" spans="1:4" x14ac:dyDescent="0.3">
      <c r="A104" s="2">
        <v>9.9499999999999993</v>
      </c>
      <c r="D104" s="2">
        <v>13.18</v>
      </c>
    </row>
    <row r="105" spans="1:4" x14ac:dyDescent="0.3">
      <c r="A105" s="2">
        <v>9.6</v>
      </c>
      <c r="D105" s="2">
        <v>24.2</v>
      </c>
    </row>
    <row r="106" spans="1:4" x14ac:dyDescent="0.3">
      <c r="A106" s="2">
        <v>10.1</v>
      </c>
      <c r="D106" s="2">
        <v>19.13</v>
      </c>
    </row>
    <row r="107" spans="1:4" x14ac:dyDescent="0.3">
      <c r="A107" s="2">
        <v>7.92</v>
      </c>
      <c r="D107" s="2">
        <v>14.3</v>
      </c>
    </row>
    <row r="108" spans="1:4" x14ac:dyDescent="0.3">
      <c r="A108" s="2">
        <v>10.4</v>
      </c>
      <c r="D108" s="2">
        <v>7.67</v>
      </c>
    </row>
    <row r="109" spans="1:4" x14ac:dyDescent="0.3">
      <c r="A109" s="2">
        <v>10</v>
      </c>
      <c r="D109" s="2">
        <v>7.44</v>
      </c>
    </row>
    <row r="110" spans="1:4" x14ac:dyDescent="0.3">
      <c r="A110" s="2">
        <v>9.6</v>
      </c>
      <c r="D110" s="2">
        <v>11.19</v>
      </c>
    </row>
    <row r="111" spans="1:4" x14ac:dyDescent="0.3">
      <c r="A111" s="2">
        <v>9.9</v>
      </c>
      <c r="D111" s="2">
        <v>13.2</v>
      </c>
    </row>
    <row r="112" spans="1:4" x14ac:dyDescent="0.3">
      <c r="A112" s="2">
        <v>10.5</v>
      </c>
      <c r="D112" s="2">
        <v>13.26</v>
      </c>
    </row>
    <row r="113" spans="1:4" x14ac:dyDescent="0.3">
      <c r="A113" s="2">
        <v>8.1</v>
      </c>
      <c r="D113" s="2">
        <v>11.15</v>
      </c>
    </row>
    <row r="114" spans="1:4" x14ac:dyDescent="0.3">
      <c r="A114" s="2">
        <v>7.08</v>
      </c>
      <c r="D114" s="2">
        <v>9.84</v>
      </c>
    </row>
    <row r="115" spans="1:4" x14ac:dyDescent="0.3">
      <c r="A115" s="2">
        <v>5.0999999999999996</v>
      </c>
      <c r="D115" s="2">
        <v>10.57</v>
      </c>
    </row>
    <row r="116" spans="1:4" x14ac:dyDescent="0.3">
      <c r="A116" s="2">
        <v>6.2</v>
      </c>
      <c r="D116" s="2">
        <v>13.47</v>
      </c>
    </row>
    <row r="117" spans="1:4" x14ac:dyDescent="0.3">
      <c r="A117" s="2">
        <v>8.9</v>
      </c>
      <c r="D117" s="2">
        <v>13.51</v>
      </c>
    </row>
    <row r="118" spans="1:4" x14ac:dyDescent="0.3">
      <c r="A118" s="2">
        <v>4</v>
      </c>
      <c r="D118" s="2">
        <v>14.42</v>
      </c>
    </row>
    <row r="119" spans="1:4" x14ac:dyDescent="0.3">
      <c r="A119" s="2">
        <v>9.8000000000000007</v>
      </c>
      <c r="D119" s="2">
        <v>12.67</v>
      </c>
    </row>
    <row r="120" spans="1:4" x14ac:dyDescent="0.3">
      <c r="A120" s="2">
        <v>7.7</v>
      </c>
      <c r="D120" s="2">
        <v>9.42</v>
      </c>
    </row>
    <row r="121" spans="1:4" x14ac:dyDescent="0.3">
      <c r="A121" s="2">
        <v>5.9</v>
      </c>
      <c r="D121" s="2">
        <v>11.99</v>
      </c>
    </row>
    <row r="122" spans="1:4" x14ac:dyDescent="0.3">
      <c r="A122" s="2">
        <v>6.5</v>
      </c>
      <c r="D122" s="2">
        <v>10.55</v>
      </c>
    </row>
    <row r="123" spans="1:4" x14ac:dyDescent="0.3">
      <c r="A123" s="2">
        <v>8.6</v>
      </c>
      <c r="D123" s="2">
        <v>9.91</v>
      </c>
    </row>
    <row r="124" spans="1:4" x14ac:dyDescent="0.3">
      <c r="A124" s="2">
        <v>9</v>
      </c>
      <c r="D124" s="2">
        <v>12.49</v>
      </c>
    </row>
    <row r="125" spans="1:4" x14ac:dyDescent="0.3">
      <c r="A125" s="2">
        <v>6.9</v>
      </c>
      <c r="D125" s="2">
        <v>9.26</v>
      </c>
    </row>
    <row r="126" spans="1:4" x14ac:dyDescent="0.3">
      <c r="A126" s="2">
        <v>8</v>
      </c>
      <c r="D126" s="2">
        <v>13.26</v>
      </c>
    </row>
    <row r="127" spans="1:4" x14ac:dyDescent="0.3">
      <c r="A127" s="2">
        <v>11.1</v>
      </c>
      <c r="D127" s="2">
        <v>14.57</v>
      </c>
    </row>
    <row r="128" spans="1:4" x14ac:dyDescent="0.3">
      <c r="A128" s="2">
        <v>6.4</v>
      </c>
      <c r="D128" s="2">
        <v>13.65</v>
      </c>
    </row>
    <row r="129" spans="1:4" x14ac:dyDescent="0.3">
      <c r="A129" s="2">
        <v>4.9000000000000004</v>
      </c>
      <c r="D129" s="2">
        <v>12.35</v>
      </c>
    </row>
    <row r="130" spans="1:4" x14ac:dyDescent="0.3">
      <c r="A130" s="2">
        <v>7</v>
      </c>
      <c r="D130" s="2">
        <v>12.72</v>
      </c>
    </row>
    <row r="131" spans="1:4" x14ac:dyDescent="0.3">
      <c r="A131" s="2">
        <v>9</v>
      </c>
      <c r="D131" s="2">
        <v>12</v>
      </c>
    </row>
    <row r="132" spans="1:4" x14ac:dyDescent="0.3">
      <c r="A132" s="2">
        <v>7.6</v>
      </c>
      <c r="D132" s="2">
        <v>11.8</v>
      </c>
    </row>
    <row r="133" spans="1:4" x14ac:dyDescent="0.3">
      <c r="A133" s="2">
        <v>6.6</v>
      </c>
      <c r="D133" s="2">
        <v>12.1</v>
      </c>
    </row>
    <row r="134" spans="1:4" x14ac:dyDescent="0.3">
      <c r="A134" s="2">
        <v>6.8</v>
      </c>
      <c r="D134" s="2">
        <v>13.6</v>
      </c>
    </row>
    <row r="135" spans="1:4" x14ac:dyDescent="0.3">
      <c r="A135" s="2">
        <v>8</v>
      </c>
      <c r="D135" s="2">
        <v>9.3000000000000007</v>
      </c>
    </row>
    <row r="136" spans="1:4" x14ac:dyDescent="0.3">
      <c r="A136" s="2">
        <v>6.2</v>
      </c>
      <c r="D136" s="2">
        <v>9.6300000000000008</v>
      </c>
    </row>
    <row r="137" spans="1:4" x14ac:dyDescent="0.3">
      <c r="A137" s="2">
        <v>8.1</v>
      </c>
      <c r="D137" s="2">
        <v>8.1</v>
      </c>
    </row>
    <row r="138" spans="1:4" x14ac:dyDescent="0.3">
      <c r="D138" s="2">
        <v>9.1</v>
      </c>
    </row>
    <row r="139" spans="1:4" x14ac:dyDescent="0.3">
      <c r="D139" s="2">
        <v>11.2</v>
      </c>
    </row>
    <row r="140" spans="1:4" x14ac:dyDescent="0.3">
      <c r="D140" s="2">
        <v>10.5</v>
      </c>
    </row>
    <row r="141" spans="1:4" x14ac:dyDescent="0.3">
      <c r="D141" s="2">
        <v>12.9</v>
      </c>
    </row>
    <row r="142" spans="1:4" x14ac:dyDescent="0.3">
      <c r="D142" s="2">
        <v>9.9</v>
      </c>
    </row>
    <row r="143" spans="1:4" x14ac:dyDescent="0.3">
      <c r="D143" s="2">
        <v>8.6</v>
      </c>
    </row>
    <row r="144" spans="1:4" x14ac:dyDescent="0.3">
      <c r="D144" s="2">
        <v>9.1</v>
      </c>
    </row>
    <row r="145" spans="4:4" x14ac:dyDescent="0.3">
      <c r="D145" s="2">
        <v>10.9</v>
      </c>
    </row>
    <row r="146" spans="4:4" x14ac:dyDescent="0.3">
      <c r="D146" s="2">
        <v>10.5</v>
      </c>
    </row>
    <row r="147" spans="4:4" x14ac:dyDescent="0.3">
      <c r="D147" s="2">
        <v>10.4</v>
      </c>
    </row>
    <row r="148" spans="4:4" x14ac:dyDescent="0.3">
      <c r="D148" s="2">
        <v>11.3</v>
      </c>
    </row>
    <row r="149" spans="4:4" x14ac:dyDescent="0.3">
      <c r="D149" s="2">
        <v>12.6</v>
      </c>
    </row>
    <row r="150" spans="4:4" x14ac:dyDescent="0.3">
      <c r="D150" s="2">
        <v>8.1</v>
      </c>
    </row>
    <row r="151" spans="4:4" x14ac:dyDescent="0.3">
      <c r="D151" s="2">
        <v>6.2</v>
      </c>
    </row>
    <row r="152" spans="4:4" x14ac:dyDescent="0.3">
      <c r="D152" s="2">
        <v>10.199999999999999</v>
      </c>
    </row>
    <row r="153" spans="4:4" x14ac:dyDescent="0.3">
      <c r="D153" s="2">
        <v>10.5</v>
      </c>
    </row>
    <row r="154" spans="4:4" x14ac:dyDescent="0.3">
      <c r="D154" s="2">
        <v>10.6</v>
      </c>
    </row>
    <row r="155" spans="4:4" x14ac:dyDescent="0.3">
      <c r="D155" s="2">
        <v>9.6999999999999993</v>
      </c>
    </row>
    <row r="156" spans="4:4" x14ac:dyDescent="0.3">
      <c r="D156" s="2">
        <v>8.4</v>
      </c>
    </row>
    <row r="157" spans="4:4" x14ac:dyDescent="0.3">
      <c r="D157" s="2">
        <v>9.4</v>
      </c>
    </row>
    <row r="158" spans="4:4" x14ac:dyDescent="0.3">
      <c r="D158" s="2">
        <v>8.9</v>
      </c>
    </row>
    <row r="159" spans="4:4" x14ac:dyDescent="0.3">
      <c r="D159" s="2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500"/>
  <sheetViews>
    <sheetView tabSelected="1" workbookViewId="0">
      <pane xSplit="1" ySplit="7" topLeftCell="AD193" activePane="bottomRight" state="frozen"/>
      <selection pane="topRight" activeCell="B1" sqref="B1"/>
      <selection pane="bottomLeft" activeCell="A6" sqref="A6"/>
      <selection pane="bottomRight" activeCell="AN202" sqref="AN202"/>
    </sheetView>
  </sheetViews>
  <sheetFormatPr defaultRowHeight="14.4" x14ac:dyDescent="0.3"/>
  <cols>
    <col min="1" max="43" width="12.6640625" customWidth="1"/>
    <col min="44" max="44" width="12.6640625" style="4" customWidth="1"/>
    <col min="45" max="50" width="12.6640625" customWidth="1"/>
  </cols>
  <sheetData>
    <row r="1" spans="1:49" s="5" customFormat="1" x14ac:dyDescent="0.3"/>
    <row r="2" spans="1:49" s="5" customFormat="1" x14ac:dyDescent="0.3">
      <c r="A2" s="11" t="s">
        <v>2434</v>
      </c>
      <c r="E2" s="10" t="s">
        <v>2435</v>
      </c>
    </row>
    <row r="4" spans="1:49" x14ac:dyDescent="0.3">
      <c r="A4" s="23" t="s">
        <v>1239</v>
      </c>
      <c r="B4" s="24"/>
      <c r="C4" s="24"/>
      <c r="D4" s="24"/>
      <c r="E4" s="2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S4" s="4"/>
      <c r="AT4" s="4"/>
      <c r="AU4" s="4"/>
      <c r="AV4" s="4"/>
      <c r="AW4" s="4"/>
    </row>
    <row r="5" spans="1:49" x14ac:dyDescent="0.3">
      <c r="A5" s="4"/>
      <c r="B5" s="4" t="s">
        <v>5</v>
      </c>
      <c r="C5" s="4" t="s">
        <v>5</v>
      </c>
      <c r="D5" s="4" t="s">
        <v>5</v>
      </c>
      <c r="E5" s="4" t="s">
        <v>5</v>
      </c>
      <c r="F5" s="4" t="s">
        <v>5</v>
      </c>
      <c r="G5" s="4" t="s">
        <v>5</v>
      </c>
      <c r="H5" s="4" t="s">
        <v>6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2321</v>
      </c>
      <c r="N5" s="4" t="s">
        <v>2321</v>
      </c>
      <c r="O5" s="4" t="s">
        <v>8</v>
      </c>
      <c r="P5" s="4" t="s">
        <v>8</v>
      </c>
      <c r="Q5" s="4" t="s">
        <v>8</v>
      </c>
      <c r="R5" s="4" t="s">
        <v>9</v>
      </c>
      <c r="S5" s="4" t="s">
        <v>9</v>
      </c>
      <c r="T5" s="4" t="s">
        <v>10</v>
      </c>
      <c r="U5" s="4" t="s">
        <v>10</v>
      </c>
      <c r="V5" s="4" t="s">
        <v>10</v>
      </c>
      <c r="W5" s="4" t="s">
        <v>10</v>
      </c>
      <c r="X5" s="4" t="s">
        <v>10</v>
      </c>
      <c r="Y5" s="4" t="s">
        <v>10</v>
      </c>
      <c r="Z5" s="4" t="s">
        <v>10</v>
      </c>
      <c r="AA5" s="4" t="s">
        <v>10</v>
      </c>
      <c r="AB5" s="4" t="s">
        <v>10</v>
      </c>
      <c r="AC5" s="4" t="s">
        <v>10</v>
      </c>
      <c r="AD5" s="4" t="s">
        <v>10</v>
      </c>
      <c r="AE5" s="4" t="s">
        <v>10</v>
      </c>
      <c r="AF5" s="4" t="s">
        <v>11</v>
      </c>
      <c r="AG5" s="4" t="s">
        <v>11</v>
      </c>
      <c r="AH5" s="4" t="s">
        <v>2345</v>
      </c>
      <c r="AI5" s="4" t="s">
        <v>2345</v>
      </c>
      <c r="AJ5" s="4" t="s">
        <v>2345</v>
      </c>
      <c r="AK5" s="4" t="s">
        <v>12</v>
      </c>
      <c r="AL5" s="4" t="s">
        <v>13</v>
      </c>
      <c r="AM5" s="4" t="s">
        <v>13</v>
      </c>
      <c r="AN5" s="4" t="s">
        <v>13</v>
      </c>
      <c r="AO5" s="4" t="s">
        <v>13</v>
      </c>
      <c r="AP5" s="4" t="s">
        <v>13</v>
      </c>
      <c r="AQ5" s="4" t="s">
        <v>13</v>
      </c>
      <c r="AR5" s="4" t="s">
        <v>13</v>
      </c>
      <c r="AS5" s="4" t="s">
        <v>14</v>
      </c>
      <c r="AT5" s="4" t="s">
        <v>14</v>
      </c>
      <c r="AU5" s="4" t="s">
        <v>14</v>
      </c>
      <c r="AV5" s="4" t="s">
        <v>15</v>
      </c>
      <c r="AW5" s="4" t="s">
        <v>15</v>
      </c>
    </row>
    <row r="6" spans="1:49" x14ac:dyDescent="0.3">
      <c r="A6" s="4"/>
      <c r="B6" s="4" t="s">
        <v>16</v>
      </c>
      <c r="C6" s="4" t="s">
        <v>16</v>
      </c>
      <c r="D6" s="4" t="s">
        <v>17</v>
      </c>
      <c r="E6" s="4" t="s">
        <v>17</v>
      </c>
      <c r="F6" s="4" t="s">
        <v>1240</v>
      </c>
      <c r="G6" s="4" t="s">
        <v>1240</v>
      </c>
      <c r="H6" s="4" t="s">
        <v>19</v>
      </c>
      <c r="I6" s="4" t="s">
        <v>20</v>
      </c>
      <c r="J6" s="4" t="s">
        <v>20</v>
      </c>
      <c r="K6" s="4" t="s">
        <v>21</v>
      </c>
      <c r="L6" s="4" t="s">
        <v>21</v>
      </c>
      <c r="M6" s="4" t="s">
        <v>2322</v>
      </c>
      <c r="N6" s="4" t="s">
        <v>2323</v>
      </c>
      <c r="O6" s="4" t="s">
        <v>1241</v>
      </c>
      <c r="P6" s="4" t="s">
        <v>23</v>
      </c>
      <c r="Q6" s="4" t="s">
        <v>24</v>
      </c>
      <c r="R6" s="4" t="s">
        <v>25</v>
      </c>
      <c r="S6" s="4" t="s">
        <v>25</v>
      </c>
      <c r="T6" s="4" t="s">
        <v>1242</v>
      </c>
      <c r="U6" s="4" t="s">
        <v>1242</v>
      </c>
      <c r="V6" s="4" t="s">
        <v>1243</v>
      </c>
      <c r="W6" s="4" t="s">
        <v>1243</v>
      </c>
      <c r="X6" s="4" t="s">
        <v>26</v>
      </c>
      <c r="Y6" s="4" t="s">
        <v>26</v>
      </c>
      <c r="Z6" s="4" t="s">
        <v>27</v>
      </c>
      <c r="AA6" s="4" t="s">
        <v>27</v>
      </c>
      <c r="AB6" s="4" t="s">
        <v>27</v>
      </c>
      <c r="AC6" s="4" t="s">
        <v>27</v>
      </c>
      <c r="AD6" s="4" t="s">
        <v>29</v>
      </c>
      <c r="AE6" s="4" t="s">
        <v>29</v>
      </c>
      <c r="AF6" s="4" t="s">
        <v>31</v>
      </c>
      <c r="AG6" s="4" t="s">
        <v>32</v>
      </c>
      <c r="AH6" s="4" t="s">
        <v>35</v>
      </c>
      <c r="AI6" s="4" t="s">
        <v>36</v>
      </c>
      <c r="AJ6" s="4" t="s">
        <v>36</v>
      </c>
      <c r="AK6" s="4" t="s">
        <v>17</v>
      </c>
      <c r="AL6" s="4" t="s">
        <v>18</v>
      </c>
      <c r="AM6" s="4" t="s">
        <v>18</v>
      </c>
      <c r="AN6" s="4" t="s">
        <v>33</v>
      </c>
      <c r="AO6" s="4" t="s">
        <v>1244</v>
      </c>
      <c r="AP6" s="4" t="s">
        <v>1245</v>
      </c>
      <c r="AQ6" s="4" t="s">
        <v>1245</v>
      </c>
      <c r="AR6" s="4" t="s">
        <v>2408</v>
      </c>
      <c r="AS6" s="4" t="s">
        <v>35</v>
      </c>
      <c r="AT6" s="4" t="s">
        <v>36</v>
      </c>
      <c r="AU6" s="4" t="s">
        <v>36</v>
      </c>
      <c r="AV6" s="4" t="s">
        <v>37</v>
      </c>
      <c r="AW6" s="4" t="s">
        <v>38</v>
      </c>
    </row>
    <row r="7" spans="1:49" x14ac:dyDescent="0.3">
      <c r="A7" s="4" t="s">
        <v>39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40</v>
      </c>
      <c r="G7" s="4" t="s">
        <v>41</v>
      </c>
      <c r="H7" s="4" t="s">
        <v>41</v>
      </c>
      <c r="I7" s="4" t="s">
        <v>40</v>
      </c>
      <c r="J7" s="4" t="s">
        <v>44</v>
      </c>
      <c r="K7" s="4" t="s">
        <v>42</v>
      </c>
      <c r="L7" s="4" t="s">
        <v>45</v>
      </c>
      <c r="M7" s="4" t="s">
        <v>44</v>
      </c>
      <c r="N7" s="4" t="s">
        <v>45</v>
      </c>
      <c r="O7" s="4" t="s">
        <v>41</v>
      </c>
      <c r="P7" s="4" t="s">
        <v>41</v>
      </c>
      <c r="Q7" s="4" t="s">
        <v>45</v>
      </c>
      <c r="R7" s="4" t="s">
        <v>40</v>
      </c>
      <c r="S7" s="4" t="s">
        <v>45</v>
      </c>
      <c r="T7" s="4" t="s">
        <v>40</v>
      </c>
      <c r="U7" s="4" t="s">
        <v>41</v>
      </c>
      <c r="V7" s="4" t="s">
        <v>40</v>
      </c>
      <c r="W7" s="4" t="s">
        <v>41</v>
      </c>
      <c r="X7" s="4" t="s">
        <v>40</v>
      </c>
      <c r="Y7" s="4" t="s">
        <v>41</v>
      </c>
      <c r="Z7" s="4" t="s">
        <v>40</v>
      </c>
      <c r="AA7" s="4" t="s">
        <v>42</v>
      </c>
      <c r="AB7" s="4" t="s">
        <v>41</v>
      </c>
      <c r="AC7" s="4" t="s">
        <v>43</v>
      </c>
      <c r="AD7" s="4" t="s">
        <v>42</v>
      </c>
      <c r="AE7" s="4" t="s">
        <v>43</v>
      </c>
      <c r="AF7" s="4" t="s">
        <v>46</v>
      </c>
      <c r="AG7" s="4" t="s">
        <v>46</v>
      </c>
      <c r="AH7" s="4" t="s">
        <v>41</v>
      </c>
      <c r="AI7" s="4" t="s">
        <v>45</v>
      </c>
      <c r="AJ7" s="4" t="s">
        <v>41</v>
      </c>
      <c r="AK7" s="4" t="s">
        <v>41</v>
      </c>
      <c r="AL7" s="4" t="s">
        <v>40</v>
      </c>
      <c r="AM7" s="4" t="s">
        <v>41</v>
      </c>
      <c r="AN7" s="4" t="s">
        <v>43</v>
      </c>
      <c r="AO7" s="4" t="s">
        <v>41</v>
      </c>
      <c r="AP7" s="4" t="s">
        <v>42</v>
      </c>
      <c r="AQ7" s="4" t="s">
        <v>43</v>
      </c>
      <c r="AR7" s="4" t="s">
        <v>41</v>
      </c>
      <c r="AS7" s="4" t="s">
        <v>41</v>
      </c>
      <c r="AT7" s="4" t="s">
        <v>45</v>
      </c>
      <c r="AU7" s="4" t="s">
        <v>41</v>
      </c>
      <c r="AV7" s="4" t="s">
        <v>46</v>
      </c>
      <c r="AW7" s="4" t="s">
        <v>47</v>
      </c>
    </row>
    <row r="8" spans="1:49" x14ac:dyDescent="0.3">
      <c r="A8" s="4" t="s">
        <v>48</v>
      </c>
      <c r="B8" s="4" t="s">
        <v>516</v>
      </c>
      <c r="C8" s="4"/>
      <c r="D8" s="4" t="s">
        <v>298</v>
      </c>
      <c r="E8" s="4"/>
      <c r="F8" s="4" t="s">
        <v>1246</v>
      </c>
      <c r="G8" s="4"/>
      <c r="H8" s="4"/>
      <c r="I8" s="4"/>
      <c r="J8" s="4"/>
      <c r="K8" s="4"/>
      <c r="L8" s="4"/>
      <c r="M8" s="4"/>
      <c r="N8" s="4"/>
      <c r="O8" s="4" t="s">
        <v>52</v>
      </c>
      <c r="P8" s="4" t="s">
        <v>52</v>
      </c>
      <c r="Q8" s="4" t="s">
        <v>52</v>
      </c>
      <c r="R8" s="4" t="s">
        <v>1247</v>
      </c>
      <c r="S8" s="4" t="s">
        <v>1248</v>
      </c>
      <c r="T8" s="4"/>
      <c r="U8" s="4"/>
      <c r="V8" s="4" t="s">
        <v>1249</v>
      </c>
      <c r="W8" s="4"/>
      <c r="X8" s="4"/>
      <c r="Y8" s="4"/>
      <c r="Z8" s="4" t="s">
        <v>1250</v>
      </c>
      <c r="AA8" s="4"/>
      <c r="AB8" s="4"/>
      <c r="AC8" s="4"/>
      <c r="AD8" s="4" t="s">
        <v>483</v>
      </c>
      <c r="AE8" s="4"/>
      <c r="AF8" s="4" t="s">
        <v>478</v>
      </c>
      <c r="AG8" s="4"/>
      <c r="AH8" s="4"/>
      <c r="AI8" s="4"/>
      <c r="AJ8" s="4"/>
      <c r="AK8" s="4"/>
      <c r="AL8" s="4" t="s">
        <v>1251</v>
      </c>
      <c r="AM8" s="4"/>
      <c r="AN8" s="4" t="s">
        <v>1252</v>
      </c>
      <c r="AO8" s="4"/>
      <c r="AP8" s="4" t="s">
        <v>777</v>
      </c>
      <c r="AQ8" s="4"/>
      <c r="AS8" s="4"/>
      <c r="AT8" s="4"/>
      <c r="AU8" s="4"/>
      <c r="AV8" s="4" t="s">
        <v>133</v>
      </c>
      <c r="AW8" s="4" t="s">
        <v>249</v>
      </c>
    </row>
    <row r="9" spans="1:49" x14ac:dyDescent="0.3">
      <c r="A9" s="4" t="s">
        <v>61</v>
      </c>
      <c r="B9" s="4" t="s">
        <v>471</v>
      </c>
      <c r="C9" s="4"/>
      <c r="D9" s="4" t="s">
        <v>460</v>
      </c>
      <c r="E9" s="4"/>
      <c r="F9" s="4" t="s">
        <v>1253</v>
      </c>
      <c r="G9" s="4"/>
      <c r="H9" s="4"/>
      <c r="I9" s="4"/>
      <c r="J9" s="4"/>
      <c r="K9" s="4"/>
      <c r="L9" s="4"/>
      <c r="M9" s="4"/>
      <c r="N9" s="4"/>
      <c r="O9" s="4" t="s">
        <v>52</v>
      </c>
      <c r="P9" s="4" t="s">
        <v>52</v>
      </c>
      <c r="Q9" s="4" t="s">
        <v>52</v>
      </c>
      <c r="R9" s="4" t="s">
        <v>1254</v>
      </c>
      <c r="S9" s="4" t="s">
        <v>1255</v>
      </c>
      <c r="T9" s="4"/>
      <c r="U9" s="4"/>
      <c r="V9" s="4" t="s">
        <v>1256</v>
      </c>
      <c r="W9" s="4"/>
      <c r="X9" s="4"/>
      <c r="Y9" s="4"/>
      <c r="Z9" s="4" t="s">
        <v>1257</v>
      </c>
      <c r="AA9" s="4"/>
      <c r="AB9" s="4"/>
      <c r="AC9" s="4"/>
      <c r="AD9" s="4" t="s">
        <v>596</v>
      </c>
      <c r="AE9" s="4"/>
      <c r="AF9" s="4" t="s">
        <v>70</v>
      </c>
      <c r="AG9" s="4"/>
      <c r="AH9" s="4"/>
      <c r="AI9" s="4"/>
      <c r="AJ9" s="4"/>
      <c r="AK9" s="4"/>
      <c r="AL9" s="4" t="s">
        <v>1258</v>
      </c>
      <c r="AM9" s="4"/>
      <c r="AN9" s="4" t="s">
        <v>1259</v>
      </c>
      <c r="AO9" s="4"/>
      <c r="AP9" s="4" t="s">
        <v>1260</v>
      </c>
      <c r="AQ9" s="4"/>
      <c r="AS9" s="4"/>
      <c r="AT9" s="4"/>
      <c r="AU9" s="4"/>
      <c r="AV9" s="4" t="s">
        <v>71</v>
      </c>
      <c r="AW9" s="4" t="s">
        <v>249</v>
      </c>
    </row>
    <row r="10" spans="1:49" x14ac:dyDescent="0.3">
      <c r="A10" s="4" t="s">
        <v>72</v>
      </c>
      <c r="B10" s="4" t="s">
        <v>50</v>
      </c>
      <c r="C10" s="4"/>
      <c r="D10" s="4" t="s">
        <v>541</v>
      </c>
      <c r="E10" s="4"/>
      <c r="F10" s="4" t="s">
        <v>1261</v>
      </c>
      <c r="G10" s="4"/>
      <c r="H10" s="4"/>
      <c r="I10" s="4"/>
      <c r="J10" s="4"/>
      <c r="K10" s="4"/>
      <c r="L10" s="4"/>
      <c r="M10" s="4"/>
      <c r="N10" s="4"/>
      <c r="O10" s="4" t="s">
        <v>52</v>
      </c>
      <c r="P10" s="4" t="s">
        <v>52</v>
      </c>
      <c r="Q10" s="4" t="s">
        <v>52</v>
      </c>
      <c r="R10" s="4" t="s">
        <v>1262</v>
      </c>
      <c r="S10" s="4" t="s">
        <v>1263</v>
      </c>
      <c r="T10" s="4"/>
      <c r="U10" s="4"/>
      <c r="V10" s="4" t="s">
        <v>1264</v>
      </c>
      <c r="W10" s="4"/>
      <c r="X10" s="4"/>
      <c r="Y10" s="4"/>
      <c r="Z10" s="4" t="s">
        <v>853</v>
      </c>
      <c r="AA10" s="4"/>
      <c r="AB10" s="4"/>
      <c r="AC10" s="4"/>
      <c r="AD10" s="4" t="s">
        <v>1265</v>
      </c>
      <c r="AE10" s="4"/>
      <c r="AF10" s="4" t="s">
        <v>90</v>
      </c>
      <c r="AG10" s="4"/>
      <c r="AH10" s="4"/>
      <c r="AI10" s="4"/>
      <c r="AJ10" s="4"/>
      <c r="AK10" s="4"/>
      <c r="AL10" s="4" t="s">
        <v>254</v>
      </c>
      <c r="AM10" s="4"/>
      <c r="AN10" s="4" t="s">
        <v>1266</v>
      </c>
      <c r="AO10" s="4"/>
      <c r="AP10" s="4" t="s">
        <v>489</v>
      </c>
      <c r="AQ10" s="4"/>
      <c r="AS10" s="4"/>
      <c r="AT10" s="4"/>
      <c r="AU10" s="4"/>
      <c r="AV10" s="4" t="s">
        <v>94</v>
      </c>
      <c r="AW10" s="4" t="s">
        <v>66</v>
      </c>
    </row>
    <row r="11" spans="1:49" x14ac:dyDescent="0.3">
      <c r="A11" s="4" t="s">
        <v>83</v>
      </c>
      <c r="B11" s="4" t="s">
        <v>449</v>
      </c>
      <c r="C11" s="4"/>
      <c r="D11" s="4" t="s">
        <v>297</v>
      </c>
      <c r="E11" s="4"/>
      <c r="F11" s="4" t="s">
        <v>1267</v>
      </c>
      <c r="G11" s="4"/>
      <c r="H11" s="4"/>
      <c r="I11" s="4"/>
      <c r="J11" s="4"/>
      <c r="K11" s="4"/>
      <c r="L11" s="4"/>
      <c r="M11" s="4"/>
      <c r="N11" s="4"/>
      <c r="O11" s="4" t="s">
        <v>52</v>
      </c>
      <c r="P11" s="4" t="s">
        <v>52</v>
      </c>
      <c r="Q11" s="4" t="s">
        <v>52</v>
      </c>
      <c r="R11" s="4" t="s">
        <v>1268</v>
      </c>
      <c r="S11" s="4" t="s">
        <v>1269</v>
      </c>
      <c r="T11" s="4" t="s">
        <v>1270</v>
      </c>
      <c r="U11" s="4"/>
      <c r="V11" s="4"/>
      <c r="W11" s="4"/>
      <c r="X11" s="4" t="s">
        <v>1271</v>
      </c>
      <c r="Y11" s="4"/>
      <c r="Z11" s="4"/>
      <c r="AA11" s="4" t="s">
        <v>1272</v>
      </c>
      <c r="AB11" s="4"/>
      <c r="AC11" s="4"/>
      <c r="AD11" s="4"/>
      <c r="AE11" s="4"/>
      <c r="AF11" s="4"/>
      <c r="AG11" s="4" t="s">
        <v>79</v>
      </c>
      <c r="AH11" s="4"/>
      <c r="AI11" s="4"/>
      <c r="AJ11" s="4"/>
      <c r="AK11" s="4"/>
      <c r="AL11" s="4" t="s">
        <v>1273</v>
      </c>
      <c r="AM11" s="4"/>
      <c r="AN11" s="4" t="s">
        <v>1274</v>
      </c>
      <c r="AO11" s="4"/>
      <c r="AP11" s="4" t="s">
        <v>1162</v>
      </c>
      <c r="AQ11" s="4"/>
      <c r="AS11" s="4"/>
      <c r="AT11" s="4"/>
      <c r="AU11" s="4"/>
      <c r="AV11" s="4" t="s">
        <v>158</v>
      </c>
      <c r="AW11" s="4" t="s">
        <v>249</v>
      </c>
    </row>
    <row r="12" spans="1:49" x14ac:dyDescent="0.3">
      <c r="A12" s="4" t="s">
        <v>95</v>
      </c>
      <c r="B12" s="4" t="s">
        <v>1234</v>
      </c>
      <c r="C12" s="4"/>
      <c r="D12" s="4" t="s">
        <v>1234</v>
      </c>
      <c r="E12" s="4"/>
      <c r="F12" s="4" t="s">
        <v>1234</v>
      </c>
      <c r="G12" s="4"/>
      <c r="H12" s="4"/>
      <c r="I12" s="4" t="s">
        <v>1234</v>
      </c>
      <c r="J12" s="4"/>
      <c r="K12" s="4" t="s">
        <v>1234</v>
      </c>
      <c r="L12" s="4"/>
      <c r="M12" s="4"/>
      <c r="N12" s="4"/>
      <c r="O12" s="4" t="s">
        <v>1234</v>
      </c>
      <c r="P12" s="4" t="s">
        <v>1234</v>
      </c>
      <c r="Q12" s="4" t="s">
        <v>1234</v>
      </c>
      <c r="R12" s="4" t="s">
        <v>1234</v>
      </c>
      <c r="S12" s="4" t="s">
        <v>1234</v>
      </c>
      <c r="T12" s="4" t="s">
        <v>1234</v>
      </c>
      <c r="U12" s="4"/>
      <c r="V12" s="4"/>
      <c r="W12" s="4"/>
      <c r="X12" s="4" t="s">
        <v>1234</v>
      </c>
      <c r="Y12" s="4"/>
      <c r="Z12" s="4"/>
      <c r="AA12" s="4" t="s">
        <v>1234</v>
      </c>
      <c r="AB12" s="4"/>
      <c r="AC12" s="4"/>
      <c r="AD12" s="4"/>
      <c r="AE12" s="4"/>
      <c r="AF12" s="4"/>
      <c r="AG12" s="4" t="s">
        <v>1234</v>
      </c>
      <c r="AH12" s="4"/>
      <c r="AI12" s="4"/>
      <c r="AJ12" s="4"/>
      <c r="AK12" s="4"/>
      <c r="AL12" s="4" t="s">
        <v>1234</v>
      </c>
      <c r="AM12" s="4"/>
      <c r="AN12" s="4" t="s">
        <v>1234</v>
      </c>
      <c r="AO12" s="4"/>
      <c r="AP12" s="4" t="s">
        <v>1234</v>
      </c>
      <c r="AQ12" s="4"/>
      <c r="AS12" s="4"/>
      <c r="AT12" s="4"/>
      <c r="AU12" s="4"/>
      <c r="AV12" s="4" t="s">
        <v>1234</v>
      </c>
      <c r="AW12" s="4" t="s">
        <v>1234</v>
      </c>
    </row>
    <row r="13" spans="1:49" x14ac:dyDescent="0.3">
      <c r="A13" s="4" t="s">
        <v>109</v>
      </c>
      <c r="B13" s="4" t="s">
        <v>201</v>
      </c>
      <c r="C13" s="4"/>
      <c r="D13" s="4" t="s">
        <v>531</v>
      </c>
      <c r="E13" s="4"/>
      <c r="F13" s="4" t="s">
        <v>1275</v>
      </c>
      <c r="G13" s="4"/>
      <c r="H13" s="4"/>
      <c r="I13" s="4" t="s">
        <v>435</v>
      </c>
      <c r="J13" s="4"/>
      <c r="K13" s="4" t="s">
        <v>527</v>
      </c>
      <c r="L13" s="4"/>
      <c r="M13" s="4"/>
      <c r="N13" s="4"/>
      <c r="O13" s="4" t="s">
        <v>52</v>
      </c>
      <c r="P13" s="4" t="s">
        <v>52</v>
      </c>
      <c r="Q13" s="4" t="s">
        <v>52</v>
      </c>
      <c r="R13" s="4" t="s">
        <v>1276</v>
      </c>
      <c r="S13" s="4" t="s">
        <v>1277</v>
      </c>
      <c r="T13" s="4" t="s">
        <v>1192</v>
      </c>
      <c r="U13" s="4"/>
      <c r="V13" s="4"/>
      <c r="W13" s="4"/>
      <c r="X13" s="4" t="s">
        <v>53</v>
      </c>
      <c r="Y13" s="4"/>
      <c r="Z13" s="4"/>
      <c r="AA13" s="4" t="s">
        <v>53</v>
      </c>
      <c r="AB13" s="4"/>
      <c r="AC13" s="4"/>
      <c r="AD13" s="4"/>
      <c r="AE13" s="4"/>
      <c r="AF13" s="4"/>
      <c r="AG13" s="4" t="s">
        <v>460</v>
      </c>
      <c r="AH13" s="4"/>
      <c r="AI13" s="4"/>
      <c r="AJ13" s="4"/>
      <c r="AK13" s="4"/>
      <c r="AL13" s="4" t="s">
        <v>1278</v>
      </c>
      <c r="AM13" s="4"/>
      <c r="AN13" s="4" t="s">
        <v>1279</v>
      </c>
      <c r="AO13" s="4"/>
      <c r="AP13" s="4" t="s">
        <v>1280</v>
      </c>
      <c r="AQ13" s="4"/>
      <c r="AS13" s="4"/>
      <c r="AT13" s="4"/>
      <c r="AU13" s="4"/>
      <c r="AV13" s="4" t="s">
        <v>249</v>
      </c>
      <c r="AW13" s="4" t="s">
        <v>263</v>
      </c>
    </row>
    <row r="14" spans="1:49" x14ac:dyDescent="0.3">
      <c r="A14" s="4" t="s">
        <v>122</v>
      </c>
      <c r="B14" s="4" t="s">
        <v>284</v>
      </c>
      <c r="C14" s="4"/>
      <c r="D14" s="4" t="s">
        <v>228</v>
      </c>
      <c r="E14" s="4"/>
      <c r="F14" s="4" t="s">
        <v>1281</v>
      </c>
      <c r="G14" s="4"/>
      <c r="H14" s="4"/>
      <c r="I14" s="4" t="s">
        <v>1136</v>
      </c>
      <c r="J14" s="4"/>
      <c r="K14" s="4" t="s">
        <v>1282</v>
      </c>
      <c r="L14" s="4"/>
      <c r="M14" s="4"/>
      <c r="N14" s="4"/>
      <c r="O14" s="4" t="s">
        <v>52</v>
      </c>
      <c r="P14" s="4" t="s">
        <v>52</v>
      </c>
      <c r="Q14" s="4" t="s">
        <v>52</v>
      </c>
      <c r="R14" s="4" t="s">
        <v>1283</v>
      </c>
      <c r="S14" s="4" t="s">
        <v>1284</v>
      </c>
      <c r="T14" s="4" t="s">
        <v>1285</v>
      </c>
      <c r="U14" s="4"/>
      <c r="V14" s="4"/>
      <c r="W14" s="4"/>
      <c r="X14" s="4" t="s">
        <v>1286</v>
      </c>
      <c r="Y14" s="4"/>
      <c r="Z14" s="4"/>
      <c r="AA14" s="4" t="s">
        <v>1287</v>
      </c>
      <c r="AB14" s="4"/>
      <c r="AC14" s="4"/>
      <c r="AD14" s="4"/>
      <c r="AE14" s="4"/>
      <c r="AF14" s="4"/>
      <c r="AG14" s="4" t="s">
        <v>305</v>
      </c>
      <c r="AH14" s="4"/>
      <c r="AI14" s="4"/>
      <c r="AJ14" s="4"/>
      <c r="AK14" s="4"/>
      <c r="AL14" s="4" t="s">
        <v>1288</v>
      </c>
      <c r="AM14" s="4"/>
      <c r="AN14" s="4" t="s">
        <v>1289</v>
      </c>
      <c r="AO14" s="4"/>
      <c r="AP14" s="4" t="s">
        <v>1164</v>
      </c>
      <c r="AQ14" s="4"/>
      <c r="AS14" s="4"/>
      <c r="AT14" s="4"/>
      <c r="AU14" s="4"/>
      <c r="AV14" s="4" t="s">
        <v>274</v>
      </c>
      <c r="AW14" s="4" t="s">
        <v>206</v>
      </c>
    </row>
    <row r="15" spans="1:49" x14ac:dyDescent="0.3">
      <c r="A15" s="4" t="s">
        <v>135</v>
      </c>
      <c r="B15" s="4" t="s">
        <v>403</v>
      </c>
      <c r="C15" s="4"/>
      <c r="D15" s="4" t="s">
        <v>59</v>
      </c>
      <c r="E15" s="4"/>
      <c r="F15" s="4" t="s">
        <v>1290</v>
      </c>
      <c r="G15" s="4"/>
      <c r="H15" s="4"/>
      <c r="I15" s="4" t="s">
        <v>489</v>
      </c>
      <c r="J15" s="4"/>
      <c r="K15" s="4" t="s">
        <v>1291</v>
      </c>
      <c r="L15" s="4"/>
      <c r="M15" s="4"/>
      <c r="N15" s="4"/>
      <c r="O15" s="4" t="s">
        <v>52</v>
      </c>
      <c r="P15" s="4" t="s">
        <v>52</v>
      </c>
      <c r="Q15" s="4" t="s">
        <v>52</v>
      </c>
      <c r="R15" s="4" t="s">
        <v>1292</v>
      </c>
      <c r="S15" s="4" t="s">
        <v>1293</v>
      </c>
      <c r="T15" s="4" t="s">
        <v>597</v>
      </c>
      <c r="U15" s="4"/>
      <c r="V15" s="4"/>
      <c r="W15" s="4"/>
      <c r="X15" s="4" t="s">
        <v>1294</v>
      </c>
      <c r="Y15" s="4"/>
      <c r="Z15" s="4"/>
      <c r="AA15" s="4" t="s">
        <v>398</v>
      </c>
      <c r="AB15" s="4"/>
      <c r="AC15" s="4"/>
      <c r="AD15" s="4"/>
      <c r="AE15" s="4"/>
      <c r="AF15" s="4"/>
      <c r="AG15" s="4" t="s">
        <v>386</v>
      </c>
      <c r="AH15" s="4"/>
      <c r="AI15" s="4"/>
      <c r="AJ15" s="4"/>
      <c r="AK15" s="4"/>
      <c r="AL15" s="4" t="s">
        <v>1295</v>
      </c>
      <c r="AM15" s="4"/>
      <c r="AN15" s="4" t="s">
        <v>1296</v>
      </c>
      <c r="AO15" s="4"/>
      <c r="AP15" s="4" t="s">
        <v>1297</v>
      </c>
      <c r="AQ15" s="4"/>
      <c r="AS15" s="4"/>
      <c r="AT15" s="4"/>
      <c r="AU15" s="4"/>
      <c r="AV15" s="4" t="s">
        <v>228</v>
      </c>
      <c r="AW15" s="4" t="s">
        <v>56</v>
      </c>
    </row>
    <row r="16" spans="1:49" x14ac:dyDescent="0.3">
      <c r="A16" s="4" t="s">
        <v>148</v>
      </c>
      <c r="B16" s="4" t="s">
        <v>73</v>
      </c>
      <c r="C16" s="4"/>
      <c r="D16" s="4" t="s">
        <v>724</v>
      </c>
      <c r="E16" s="4"/>
      <c r="F16" s="4" t="s">
        <v>1298</v>
      </c>
      <c r="G16" s="4"/>
      <c r="H16" s="4"/>
      <c r="I16" s="4" t="s">
        <v>307</v>
      </c>
      <c r="J16" s="4"/>
      <c r="K16" s="4" t="s">
        <v>1291</v>
      </c>
      <c r="L16" s="4"/>
      <c r="M16" s="4"/>
      <c r="N16" s="4"/>
      <c r="O16" s="4" t="s">
        <v>52</v>
      </c>
      <c r="P16" s="4" t="s">
        <v>52</v>
      </c>
      <c r="Q16" s="4" t="s">
        <v>52</v>
      </c>
      <c r="R16" s="4" t="s">
        <v>1299</v>
      </c>
      <c r="S16" s="4" t="s">
        <v>1300</v>
      </c>
      <c r="T16" s="4" t="s">
        <v>1192</v>
      </c>
      <c r="U16" s="4"/>
      <c r="V16" s="4"/>
      <c r="W16" s="4"/>
      <c r="X16" s="4" t="s">
        <v>53</v>
      </c>
      <c r="Y16" s="4"/>
      <c r="Z16" s="4"/>
      <c r="AA16" s="4" t="s">
        <v>53</v>
      </c>
      <c r="AB16" s="4"/>
      <c r="AC16" s="4"/>
      <c r="AD16" s="4"/>
      <c r="AE16" s="4"/>
      <c r="AF16" s="4"/>
      <c r="AG16" s="4" t="s">
        <v>386</v>
      </c>
      <c r="AH16" s="4"/>
      <c r="AI16" s="4"/>
      <c r="AJ16" s="4"/>
      <c r="AK16" s="4"/>
      <c r="AL16" s="4" t="s">
        <v>1301</v>
      </c>
      <c r="AM16" s="4"/>
      <c r="AN16" s="4" t="s">
        <v>1296</v>
      </c>
      <c r="AO16" s="4"/>
      <c r="AP16" s="4" t="s">
        <v>1302</v>
      </c>
      <c r="AQ16" s="4"/>
      <c r="AS16" s="4"/>
      <c r="AT16" s="4"/>
      <c r="AU16" s="4"/>
      <c r="AV16" s="4" t="s">
        <v>158</v>
      </c>
      <c r="AW16" s="4" t="s">
        <v>274</v>
      </c>
    </row>
    <row r="17" spans="1:49" x14ac:dyDescent="0.3">
      <c r="A17" s="4" t="s">
        <v>159</v>
      </c>
      <c r="B17" s="4" t="s">
        <v>460</v>
      </c>
      <c r="C17" s="4"/>
      <c r="D17" s="4" t="s">
        <v>531</v>
      </c>
      <c r="E17" s="4"/>
      <c r="F17" s="4" t="s">
        <v>1303</v>
      </c>
      <c r="G17" s="4"/>
      <c r="H17" s="4"/>
      <c r="I17" s="4"/>
      <c r="J17" s="4"/>
      <c r="K17" s="4"/>
      <c r="L17" s="4"/>
      <c r="M17" s="4"/>
      <c r="N17" s="4"/>
      <c r="O17" s="4" t="s">
        <v>52</v>
      </c>
      <c r="P17" s="4" t="s">
        <v>52</v>
      </c>
      <c r="Q17" s="4" t="s">
        <v>52</v>
      </c>
      <c r="R17" s="4" t="s">
        <v>1304</v>
      </c>
      <c r="S17" s="4" t="s">
        <v>1305</v>
      </c>
      <c r="T17" s="4" t="s">
        <v>1192</v>
      </c>
      <c r="U17" s="4"/>
      <c r="V17" s="4"/>
      <c r="W17" s="4"/>
      <c r="X17" s="4" t="s">
        <v>53</v>
      </c>
      <c r="Y17" s="4"/>
      <c r="Z17" s="4"/>
      <c r="AA17" s="4" t="s">
        <v>53</v>
      </c>
      <c r="AB17" s="4"/>
      <c r="AC17" s="4"/>
      <c r="AD17" s="4"/>
      <c r="AE17" s="4"/>
      <c r="AF17" s="4"/>
      <c r="AG17" s="4" t="s">
        <v>570</v>
      </c>
      <c r="AH17" s="4"/>
      <c r="AI17" s="4"/>
      <c r="AJ17" s="4"/>
      <c r="AK17" s="4"/>
      <c r="AL17" s="4" t="s">
        <v>1306</v>
      </c>
      <c r="AM17" s="4"/>
      <c r="AN17" s="4" t="s">
        <v>1307</v>
      </c>
      <c r="AO17" s="4"/>
      <c r="AP17" s="4" t="s">
        <v>1308</v>
      </c>
      <c r="AQ17" s="4"/>
      <c r="AS17" s="4"/>
      <c r="AT17" s="4"/>
      <c r="AU17" s="4"/>
      <c r="AV17" s="4" t="s">
        <v>134</v>
      </c>
      <c r="AW17" s="4" t="s">
        <v>206</v>
      </c>
    </row>
    <row r="18" spans="1:49" x14ac:dyDescent="0.3">
      <c r="A18" s="4" t="s">
        <v>166</v>
      </c>
      <c r="B18" s="4" t="s">
        <v>110</v>
      </c>
      <c r="C18" s="4"/>
      <c r="D18" s="4" t="s">
        <v>167</v>
      </c>
      <c r="E18" s="4"/>
      <c r="F18" s="4" t="s">
        <v>1309</v>
      </c>
      <c r="G18" s="4"/>
      <c r="H18" s="4"/>
      <c r="I18" s="4"/>
      <c r="J18" s="4"/>
      <c r="K18" s="4"/>
      <c r="L18" s="4"/>
      <c r="M18" s="4"/>
      <c r="N18" s="4"/>
      <c r="O18" s="4" t="s">
        <v>52</v>
      </c>
      <c r="P18" s="4" t="s">
        <v>52</v>
      </c>
      <c r="Q18" s="4" t="s">
        <v>52</v>
      </c>
      <c r="R18" s="4" t="s">
        <v>1310</v>
      </c>
      <c r="S18" s="4" t="s">
        <v>1311</v>
      </c>
      <c r="T18" s="4"/>
      <c r="U18" s="4"/>
      <c r="V18" s="4" t="s">
        <v>1192</v>
      </c>
      <c r="W18" s="4"/>
      <c r="X18" s="4"/>
      <c r="Y18" s="4"/>
      <c r="Z18" s="4" t="s">
        <v>53</v>
      </c>
      <c r="AA18" s="4"/>
      <c r="AB18" s="4"/>
      <c r="AC18" s="4"/>
      <c r="AD18" s="4" t="s">
        <v>53</v>
      </c>
      <c r="AE18" s="4"/>
      <c r="AF18" s="4" t="s">
        <v>274</v>
      </c>
      <c r="AG18" s="4"/>
      <c r="AH18" s="4"/>
      <c r="AI18" s="4"/>
      <c r="AJ18" s="4"/>
      <c r="AK18" s="4"/>
      <c r="AL18" s="4" t="s">
        <v>1312</v>
      </c>
      <c r="AM18" s="4"/>
      <c r="AN18" s="4" t="s">
        <v>1313</v>
      </c>
      <c r="AO18" s="4"/>
      <c r="AP18" s="4" t="s">
        <v>81</v>
      </c>
      <c r="AQ18" s="4"/>
      <c r="AS18" s="4"/>
      <c r="AT18" s="4"/>
      <c r="AU18" s="4"/>
      <c r="AV18" s="4" t="s">
        <v>94</v>
      </c>
      <c r="AW18" s="4" t="s">
        <v>56</v>
      </c>
    </row>
    <row r="19" spans="1:49" x14ac:dyDescent="0.3">
      <c r="A19" s="4" t="s">
        <v>176</v>
      </c>
      <c r="B19" s="4" t="s">
        <v>471</v>
      </c>
      <c r="C19" s="4"/>
      <c r="D19" s="4" t="s">
        <v>96</v>
      </c>
      <c r="E19" s="4"/>
      <c r="F19" s="4" t="s">
        <v>1314</v>
      </c>
      <c r="G19" s="4"/>
      <c r="H19" s="4"/>
      <c r="I19" s="4"/>
      <c r="J19" s="4"/>
      <c r="K19" s="4"/>
      <c r="L19" s="4"/>
      <c r="M19" s="4"/>
      <c r="N19" s="4"/>
      <c r="O19" s="4" t="s">
        <v>52</v>
      </c>
      <c r="P19" s="4" t="s">
        <v>52</v>
      </c>
      <c r="Q19" s="4" t="s">
        <v>52</v>
      </c>
      <c r="R19" s="4" t="s">
        <v>1315</v>
      </c>
      <c r="S19" s="4" t="s">
        <v>1316</v>
      </c>
      <c r="T19" s="4"/>
      <c r="U19" s="4"/>
      <c r="V19" s="4" t="s">
        <v>162</v>
      </c>
      <c r="W19" s="4"/>
      <c r="X19" s="4"/>
      <c r="Y19" s="4"/>
      <c r="Z19" s="4" t="s">
        <v>1317</v>
      </c>
      <c r="AA19" s="4"/>
      <c r="AB19" s="4"/>
      <c r="AC19" s="4"/>
      <c r="AD19" s="4" t="s">
        <v>970</v>
      </c>
      <c r="AE19" s="4"/>
      <c r="AF19" s="4" t="s">
        <v>289</v>
      </c>
      <c r="AG19" s="4"/>
      <c r="AH19" s="4"/>
      <c r="AI19" s="4"/>
      <c r="AJ19" s="4"/>
      <c r="AK19" s="4"/>
      <c r="AL19" s="4" t="s">
        <v>1318</v>
      </c>
      <c r="AM19" s="4"/>
      <c r="AN19" s="4" t="s">
        <v>1319</v>
      </c>
      <c r="AO19" s="4"/>
      <c r="AP19" s="4" t="s">
        <v>1320</v>
      </c>
      <c r="AQ19" s="4"/>
      <c r="AS19" s="4"/>
      <c r="AT19" s="4"/>
      <c r="AU19" s="4"/>
      <c r="AV19" s="4" t="s">
        <v>94</v>
      </c>
      <c r="AW19" s="4" t="s">
        <v>121</v>
      </c>
    </row>
    <row r="20" spans="1:49" x14ac:dyDescent="0.3">
      <c r="A20" s="4" t="s">
        <v>185</v>
      </c>
      <c r="B20" s="4" t="s">
        <v>630</v>
      </c>
      <c r="C20" s="4"/>
      <c r="D20" s="4" t="s">
        <v>304</v>
      </c>
      <c r="E20" s="4"/>
      <c r="F20" s="4" t="s">
        <v>1321</v>
      </c>
      <c r="G20" s="4"/>
      <c r="H20" s="4"/>
      <c r="I20" s="4"/>
      <c r="J20" s="4"/>
      <c r="K20" s="4"/>
      <c r="L20" s="4"/>
      <c r="M20" s="4"/>
      <c r="N20" s="4"/>
      <c r="O20" s="4" t="s">
        <v>52</v>
      </c>
      <c r="P20" s="4" t="s">
        <v>52</v>
      </c>
      <c r="Q20" s="4" t="s">
        <v>52</v>
      </c>
      <c r="R20" s="4" t="s">
        <v>1322</v>
      </c>
      <c r="S20" s="4" t="s">
        <v>1323</v>
      </c>
      <c r="T20" s="4"/>
      <c r="U20" s="4"/>
      <c r="V20" s="4" t="s">
        <v>1324</v>
      </c>
      <c r="W20" s="4"/>
      <c r="X20" s="4"/>
      <c r="Y20" s="4"/>
      <c r="Z20" s="4" t="s">
        <v>1325</v>
      </c>
      <c r="AA20" s="4"/>
      <c r="AB20" s="4"/>
      <c r="AC20" s="4"/>
      <c r="AD20" s="4" t="s">
        <v>1326</v>
      </c>
      <c r="AE20" s="4"/>
      <c r="AF20" s="4" t="s">
        <v>440</v>
      </c>
      <c r="AG20" s="4"/>
      <c r="AH20" s="4"/>
      <c r="AI20" s="4"/>
      <c r="AJ20" s="4"/>
      <c r="AK20" s="4"/>
      <c r="AL20" s="4" t="s">
        <v>1327</v>
      </c>
      <c r="AM20" s="4"/>
      <c r="AN20" s="4" t="s">
        <v>417</v>
      </c>
      <c r="AO20" s="4"/>
      <c r="AP20" s="4" t="s">
        <v>1328</v>
      </c>
      <c r="AQ20" s="4"/>
      <c r="AS20" s="4"/>
      <c r="AT20" s="4"/>
      <c r="AU20" s="4"/>
      <c r="AV20" s="4" t="s">
        <v>274</v>
      </c>
      <c r="AW20" s="4" t="s">
        <v>121</v>
      </c>
    </row>
    <row r="21" spans="1:49" x14ac:dyDescent="0.3">
      <c r="A21" s="4" t="s">
        <v>192</v>
      </c>
      <c r="B21" s="4" t="s">
        <v>304</v>
      </c>
      <c r="C21" s="4"/>
      <c r="D21" s="4" t="s">
        <v>96</v>
      </c>
      <c r="E21" s="4"/>
      <c r="F21" s="4" t="s">
        <v>1329</v>
      </c>
      <c r="G21" s="4"/>
      <c r="H21" s="4"/>
      <c r="I21" s="4"/>
      <c r="J21" s="4"/>
      <c r="K21" s="4"/>
      <c r="L21" s="4"/>
      <c r="M21" s="4"/>
      <c r="N21" s="4"/>
      <c r="O21" s="4" t="s">
        <v>52</v>
      </c>
      <c r="P21" s="4" t="s">
        <v>52</v>
      </c>
      <c r="Q21" s="4" t="s">
        <v>52</v>
      </c>
      <c r="R21" s="4" t="s">
        <v>1330</v>
      </c>
      <c r="S21" s="4" t="s">
        <v>1331</v>
      </c>
      <c r="T21" s="4"/>
      <c r="U21" s="4"/>
      <c r="V21" s="4" t="s">
        <v>1332</v>
      </c>
      <c r="W21" s="4"/>
      <c r="X21" s="4"/>
      <c r="Y21" s="4"/>
      <c r="Z21" s="4" t="s">
        <v>1333</v>
      </c>
      <c r="AA21" s="4"/>
      <c r="AB21" s="4"/>
      <c r="AC21" s="4"/>
      <c r="AD21" s="4" t="s">
        <v>885</v>
      </c>
      <c r="AE21" s="4"/>
      <c r="AF21" s="4" t="s">
        <v>462</v>
      </c>
      <c r="AG21" s="4"/>
      <c r="AH21" s="4"/>
      <c r="AI21" s="4"/>
      <c r="AJ21" s="4"/>
      <c r="AK21" s="4"/>
      <c r="AL21" s="4" t="s">
        <v>1334</v>
      </c>
      <c r="AM21" s="4"/>
      <c r="AN21" s="4" t="s">
        <v>1162</v>
      </c>
      <c r="AO21" s="4"/>
      <c r="AP21" s="4" t="s">
        <v>1335</v>
      </c>
      <c r="AQ21" s="4"/>
      <c r="AS21" s="4"/>
      <c r="AT21" s="4"/>
      <c r="AU21" s="4"/>
      <c r="AV21" s="4" t="s">
        <v>274</v>
      </c>
      <c r="AW21" s="4" t="s">
        <v>117</v>
      </c>
    </row>
    <row r="22" spans="1:49" x14ac:dyDescent="0.3">
      <c r="A22" s="4" t="s">
        <v>200</v>
      </c>
      <c r="B22" s="4" t="s">
        <v>55</v>
      </c>
      <c r="C22" s="4"/>
      <c r="D22" s="4" t="s">
        <v>117</v>
      </c>
      <c r="E22" s="4"/>
      <c r="F22" s="4" t="s">
        <v>1336</v>
      </c>
      <c r="G22" s="4"/>
      <c r="H22" s="4"/>
      <c r="I22" s="4"/>
      <c r="J22" s="4"/>
      <c r="K22" s="4"/>
      <c r="L22" s="4"/>
      <c r="M22" s="4"/>
      <c r="N22" s="4"/>
      <c r="O22" s="4" t="s">
        <v>52</v>
      </c>
      <c r="P22" s="4" t="s">
        <v>52</v>
      </c>
      <c r="Q22" s="4" t="s">
        <v>52</v>
      </c>
      <c r="R22" s="4" t="s">
        <v>1337</v>
      </c>
      <c r="S22" s="4" t="s">
        <v>1338</v>
      </c>
      <c r="T22" s="4"/>
      <c r="U22" s="4"/>
      <c r="V22" s="4" t="s">
        <v>695</v>
      </c>
      <c r="W22" s="4"/>
      <c r="X22" s="4"/>
      <c r="Y22" s="4"/>
      <c r="Z22" s="4" t="s">
        <v>1339</v>
      </c>
      <c r="AA22" s="4"/>
      <c r="AB22" s="4"/>
      <c r="AC22" s="4"/>
      <c r="AD22" s="4" t="s">
        <v>1340</v>
      </c>
      <c r="AE22" s="4"/>
      <c r="AF22" s="4" t="s">
        <v>356</v>
      </c>
      <c r="AG22" s="4"/>
      <c r="AH22" s="4"/>
      <c r="AI22" s="4"/>
      <c r="AJ22" s="4"/>
      <c r="AK22" s="4"/>
      <c r="AL22" s="4" t="s">
        <v>1341</v>
      </c>
      <c r="AM22" s="4"/>
      <c r="AN22" s="4" t="s">
        <v>1164</v>
      </c>
      <c r="AO22" s="4"/>
      <c r="AP22" s="4" t="s">
        <v>1279</v>
      </c>
      <c r="AQ22" s="4"/>
      <c r="AS22" s="4"/>
      <c r="AT22" s="4"/>
      <c r="AU22" s="4"/>
      <c r="AV22" s="4" t="s">
        <v>274</v>
      </c>
      <c r="AW22" s="4" t="s">
        <v>206</v>
      </c>
    </row>
    <row r="23" spans="1:49" x14ac:dyDescent="0.3">
      <c r="A23" s="4" t="s">
        <v>209</v>
      </c>
      <c r="B23" s="4" t="s">
        <v>59</v>
      </c>
      <c r="C23" s="4"/>
      <c r="D23" s="4" t="s">
        <v>121</v>
      </c>
      <c r="E23" s="4"/>
      <c r="F23" s="4" t="s">
        <v>1342</v>
      </c>
      <c r="G23" s="4"/>
      <c r="H23" s="4"/>
      <c r="I23" s="4"/>
      <c r="J23" s="4"/>
      <c r="K23" s="4"/>
      <c r="L23" s="4"/>
      <c r="M23" s="4"/>
      <c r="N23" s="4"/>
      <c r="O23" s="4" t="s">
        <v>52</v>
      </c>
      <c r="P23" s="4" t="s">
        <v>52</v>
      </c>
      <c r="Q23" s="4" t="s">
        <v>52</v>
      </c>
      <c r="R23" s="4" t="s">
        <v>1343</v>
      </c>
      <c r="S23" s="4" t="s">
        <v>1344</v>
      </c>
      <c r="T23" s="4" t="s">
        <v>1192</v>
      </c>
      <c r="U23" s="4"/>
      <c r="V23" s="4"/>
      <c r="W23" s="4"/>
      <c r="X23" s="4" t="s">
        <v>53</v>
      </c>
      <c r="Y23" s="4"/>
      <c r="Z23" s="4"/>
      <c r="AA23" s="4" t="s">
        <v>53</v>
      </c>
      <c r="AB23" s="4"/>
      <c r="AC23" s="4"/>
      <c r="AD23" s="4"/>
      <c r="AE23" s="4"/>
      <c r="AF23" s="4"/>
      <c r="AG23" s="4" t="s">
        <v>301</v>
      </c>
      <c r="AH23" s="4"/>
      <c r="AI23" s="4"/>
      <c r="AJ23" s="4"/>
      <c r="AK23" s="4"/>
      <c r="AL23" s="4" t="s">
        <v>1345</v>
      </c>
      <c r="AM23" s="4"/>
      <c r="AN23" s="4" t="s">
        <v>225</v>
      </c>
      <c r="AO23" s="4"/>
      <c r="AP23" s="4" t="s">
        <v>1346</v>
      </c>
      <c r="AQ23" s="4"/>
      <c r="AS23" s="4"/>
      <c r="AT23" s="4"/>
      <c r="AU23" s="4"/>
      <c r="AV23" s="4" t="s">
        <v>249</v>
      </c>
      <c r="AW23" s="4" t="s">
        <v>391</v>
      </c>
    </row>
    <row r="24" spans="1:49" x14ac:dyDescent="0.3">
      <c r="A24" s="4" t="s">
        <v>217</v>
      </c>
      <c r="B24" s="4" t="s">
        <v>194</v>
      </c>
      <c r="C24" s="4"/>
      <c r="D24" s="4" t="s">
        <v>55</v>
      </c>
      <c r="E24" s="4"/>
      <c r="F24" s="4" t="s">
        <v>1347</v>
      </c>
      <c r="G24" s="4"/>
      <c r="H24" s="4"/>
      <c r="I24" s="4" t="s">
        <v>1348</v>
      </c>
      <c r="J24" s="4"/>
      <c r="K24" s="4" t="s">
        <v>1349</v>
      </c>
      <c r="L24" s="4"/>
      <c r="M24" s="4"/>
      <c r="N24" s="4"/>
      <c r="O24" s="4" t="s">
        <v>52</v>
      </c>
      <c r="P24" s="4" t="s">
        <v>52</v>
      </c>
      <c r="Q24" s="4" t="s">
        <v>52</v>
      </c>
      <c r="R24" s="4" t="s">
        <v>1350</v>
      </c>
      <c r="S24" s="4" t="s">
        <v>1351</v>
      </c>
      <c r="T24" s="4" t="s">
        <v>1352</v>
      </c>
      <c r="U24" s="4"/>
      <c r="V24" s="4"/>
      <c r="W24" s="4"/>
      <c r="X24" s="4" t="s">
        <v>1353</v>
      </c>
      <c r="Y24" s="4"/>
      <c r="Z24" s="4"/>
      <c r="AA24" s="4" t="s">
        <v>1354</v>
      </c>
      <c r="AB24" s="4"/>
      <c r="AC24" s="4"/>
      <c r="AD24" s="4"/>
      <c r="AE24" s="4"/>
      <c r="AF24" s="4"/>
      <c r="AG24" s="4" t="s">
        <v>84</v>
      </c>
      <c r="AH24" s="4"/>
      <c r="AI24" s="4"/>
      <c r="AJ24" s="4"/>
      <c r="AK24" s="4"/>
      <c r="AL24" s="4" t="s">
        <v>1355</v>
      </c>
      <c r="AM24" s="4"/>
      <c r="AN24" s="4" t="s">
        <v>1356</v>
      </c>
      <c r="AO24" s="4"/>
      <c r="AP24" s="4" t="s">
        <v>1357</v>
      </c>
      <c r="AQ24" s="4"/>
      <c r="AS24" s="4"/>
      <c r="AT24" s="4"/>
      <c r="AU24" s="4"/>
      <c r="AV24" s="4" t="s">
        <v>158</v>
      </c>
      <c r="AW24" s="4" t="s">
        <v>121</v>
      </c>
    </row>
    <row r="25" spans="1:49" x14ac:dyDescent="0.3">
      <c r="A25" s="4" t="s">
        <v>227</v>
      </c>
      <c r="B25" s="4" t="s">
        <v>541</v>
      </c>
      <c r="C25" s="4"/>
      <c r="D25" s="4" t="s">
        <v>570</v>
      </c>
      <c r="E25" s="4"/>
      <c r="F25" s="4" t="s">
        <v>1358</v>
      </c>
      <c r="G25" s="4"/>
      <c r="H25" s="4"/>
      <c r="I25" s="4" t="s">
        <v>1081</v>
      </c>
      <c r="J25" s="4"/>
      <c r="K25" s="4" t="s">
        <v>1359</v>
      </c>
      <c r="L25" s="4"/>
      <c r="M25" s="4"/>
      <c r="N25" s="4"/>
      <c r="O25" s="4" t="s">
        <v>52</v>
      </c>
      <c r="P25" s="4" t="s">
        <v>52</v>
      </c>
      <c r="Q25" s="4" t="s">
        <v>52</v>
      </c>
      <c r="R25" s="4" t="s">
        <v>1360</v>
      </c>
      <c r="S25" s="4" t="s">
        <v>1361</v>
      </c>
      <c r="T25" s="4" t="s">
        <v>1192</v>
      </c>
      <c r="U25" s="4"/>
      <c r="V25" s="4"/>
      <c r="W25" s="4"/>
      <c r="X25" s="4" t="s">
        <v>53</v>
      </c>
      <c r="Y25" s="4"/>
      <c r="Z25" s="4"/>
      <c r="AA25" s="4" t="s">
        <v>53</v>
      </c>
      <c r="AB25" s="4"/>
      <c r="AC25" s="4"/>
      <c r="AD25" s="4"/>
      <c r="AE25" s="4"/>
      <c r="AF25" s="4"/>
      <c r="AG25" s="4" t="s">
        <v>160</v>
      </c>
      <c r="AH25" s="4"/>
      <c r="AI25" s="4"/>
      <c r="AJ25" s="4"/>
      <c r="AK25" s="4"/>
      <c r="AL25" s="4" t="s">
        <v>1362</v>
      </c>
      <c r="AM25" s="4"/>
      <c r="AN25" s="4" t="s">
        <v>1363</v>
      </c>
      <c r="AO25" s="4"/>
      <c r="AP25" s="4" t="s">
        <v>1125</v>
      </c>
      <c r="AQ25" s="4"/>
      <c r="AS25" s="4"/>
      <c r="AT25" s="4"/>
      <c r="AU25" s="4"/>
      <c r="AV25" s="4" t="s">
        <v>274</v>
      </c>
      <c r="AW25" s="4" t="s">
        <v>263</v>
      </c>
    </row>
    <row r="26" spans="1:49" x14ac:dyDescent="0.3">
      <c r="A26" s="4" t="s">
        <v>238</v>
      </c>
      <c r="B26" s="4" t="s">
        <v>707</v>
      </c>
      <c r="C26" s="4"/>
      <c r="D26" s="4" t="s">
        <v>147</v>
      </c>
      <c r="E26" s="4"/>
      <c r="F26" s="4" t="s">
        <v>1364</v>
      </c>
      <c r="G26" s="4"/>
      <c r="H26" s="4"/>
      <c r="I26" s="4" t="s">
        <v>593</v>
      </c>
      <c r="J26" s="4"/>
      <c r="K26" s="4" t="s">
        <v>557</v>
      </c>
      <c r="L26" s="4"/>
      <c r="M26" s="4"/>
      <c r="N26" s="4"/>
      <c r="O26" s="4" t="s">
        <v>52</v>
      </c>
      <c r="P26" s="4" t="s">
        <v>52</v>
      </c>
      <c r="Q26" s="4" t="s">
        <v>52</v>
      </c>
      <c r="R26" s="4" t="s">
        <v>1365</v>
      </c>
      <c r="S26" s="4" t="s">
        <v>1316</v>
      </c>
      <c r="T26" s="4" t="s">
        <v>1192</v>
      </c>
      <c r="U26" s="4"/>
      <c r="V26" s="4"/>
      <c r="W26" s="4"/>
      <c r="X26" s="4" t="s">
        <v>53</v>
      </c>
      <c r="Y26" s="4"/>
      <c r="Z26" s="4"/>
      <c r="AA26" s="4" t="s">
        <v>53</v>
      </c>
      <c r="AB26" s="4"/>
      <c r="AC26" s="4"/>
      <c r="AD26" s="4"/>
      <c r="AE26" s="4"/>
      <c r="AF26" s="4"/>
      <c r="AG26" s="4" t="s">
        <v>49</v>
      </c>
      <c r="AH26" s="4"/>
      <c r="AI26" s="4"/>
      <c r="AJ26" s="4"/>
      <c r="AK26" s="4"/>
      <c r="AL26" s="4" t="s">
        <v>1366</v>
      </c>
      <c r="AM26" s="4"/>
      <c r="AN26" s="4" t="s">
        <v>617</v>
      </c>
      <c r="AO26" s="4"/>
      <c r="AP26" s="4" t="s">
        <v>1367</v>
      </c>
      <c r="AQ26" s="4"/>
      <c r="AS26" s="4"/>
      <c r="AT26" s="4"/>
      <c r="AU26" s="4"/>
      <c r="AV26" s="4" t="s">
        <v>158</v>
      </c>
      <c r="AW26" s="4" t="s">
        <v>206</v>
      </c>
    </row>
    <row r="27" spans="1:49" x14ac:dyDescent="0.3">
      <c r="A27" s="4" t="s">
        <v>250</v>
      </c>
      <c r="B27" s="4" t="s">
        <v>478</v>
      </c>
      <c r="C27" s="4"/>
      <c r="D27" s="4" t="s">
        <v>1368</v>
      </c>
      <c r="E27" s="4"/>
      <c r="F27" s="4" t="s">
        <v>1369</v>
      </c>
      <c r="G27" s="4"/>
      <c r="H27" s="4"/>
      <c r="I27" s="4" t="s">
        <v>1370</v>
      </c>
      <c r="J27" s="4"/>
      <c r="K27" s="4" t="s">
        <v>1371</v>
      </c>
      <c r="L27" s="4"/>
      <c r="M27" s="4"/>
      <c r="N27" s="4"/>
      <c r="O27" s="4" t="s">
        <v>52</v>
      </c>
      <c r="P27" s="4" t="s">
        <v>52</v>
      </c>
      <c r="Q27" s="4" t="s">
        <v>52</v>
      </c>
      <c r="R27" s="4" t="s">
        <v>1372</v>
      </c>
      <c r="S27" s="4" t="s">
        <v>1373</v>
      </c>
      <c r="T27" s="4" t="s">
        <v>1374</v>
      </c>
      <c r="U27" s="4"/>
      <c r="V27" s="4"/>
      <c r="W27" s="4"/>
      <c r="X27" s="4" t="s">
        <v>1375</v>
      </c>
      <c r="Y27" s="4"/>
      <c r="Z27" s="4"/>
      <c r="AA27" s="4" t="s">
        <v>1376</v>
      </c>
      <c r="AB27" s="4"/>
      <c r="AC27" s="4"/>
      <c r="AD27" s="4"/>
      <c r="AE27" s="4"/>
      <c r="AF27" s="4"/>
      <c r="AG27" s="4" t="s">
        <v>449</v>
      </c>
      <c r="AH27" s="4"/>
      <c r="AI27" s="4"/>
      <c r="AJ27" s="4"/>
      <c r="AK27" s="4"/>
      <c r="AL27" s="4" t="s">
        <v>1377</v>
      </c>
      <c r="AM27" s="4"/>
      <c r="AN27" s="4" t="s">
        <v>328</v>
      </c>
      <c r="AO27" s="4"/>
      <c r="AP27" s="4" t="s">
        <v>1378</v>
      </c>
      <c r="AQ27" s="4"/>
      <c r="AS27" s="4"/>
      <c r="AT27" s="4"/>
      <c r="AU27" s="4"/>
      <c r="AV27" s="4" t="s">
        <v>71</v>
      </c>
      <c r="AW27" s="4" t="s">
        <v>121</v>
      </c>
    </row>
    <row r="28" spans="1:49" x14ac:dyDescent="0.3">
      <c r="A28" s="4" t="s">
        <v>262</v>
      </c>
      <c r="B28" s="4" t="s">
        <v>356</v>
      </c>
      <c r="C28" s="4"/>
      <c r="D28" s="4" t="s">
        <v>674</v>
      </c>
      <c r="E28" s="4"/>
      <c r="F28" s="4" t="s">
        <v>1379</v>
      </c>
      <c r="G28" s="4"/>
      <c r="H28" s="4"/>
      <c r="I28" s="4" t="s">
        <v>1380</v>
      </c>
      <c r="J28" s="4"/>
      <c r="K28" s="4" t="s">
        <v>1381</v>
      </c>
      <c r="L28" s="4"/>
      <c r="M28" s="4"/>
      <c r="N28" s="4"/>
      <c r="O28" s="4" t="s">
        <v>52</v>
      </c>
      <c r="P28" s="4" t="s">
        <v>52</v>
      </c>
      <c r="Q28" s="4" t="s">
        <v>52</v>
      </c>
      <c r="R28" s="4" t="s">
        <v>1382</v>
      </c>
      <c r="S28" s="4" t="s">
        <v>1383</v>
      </c>
      <c r="T28" s="4" t="s">
        <v>1384</v>
      </c>
      <c r="U28" s="4"/>
      <c r="V28" s="4"/>
      <c r="W28" s="4"/>
      <c r="X28" s="4" t="s">
        <v>1385</v>
      </c>
      <c r="Y28" s="4"/>
      <c r="Z28" s="4"/>
      <c r="AA28" s="4" t="s">
        <v>1386</v>
      </c>
      <c r="AB28" s="4"/>
      <c r="AC28" s="4"/>
      <c r="AD28" s="4"/>
      <c r="AE28" s="4"/>
      <c r="AF28" s="4"/>
      <c r="AG28" s="4" t="s">
        <v>49</v>
      </c>
      <c r="AH28" s="4"/>
      <c r="AI28" s="4"/>
      <c r="AJ28" s="4"/>
      <c r="AK28" s="4"/>
      <c r="AL28" s="4" t="s">
        <v>1387</v>
      </c>
      <c r="AM28" s="4"/>
      <c r="AN28" s="4" t="s">
        <v>473</v>
      </c>
      <c r="AO28" s="4"/>
      <c r="AP28" s="4" t="s">
        <v>1388</v>
      </c>
      <c r="AQ28" s="4"/>
      <c r="AS28" s="4"/>
      <c r="AT28" s="4"/>
      <c r="AU28" s="4"/>
      <c r="AV28" s="4" t="s">
        <v>147</v>
      </c>
      <c r="AW28" s="4" t="s">
        <v>249</v>
      </c>
    </row>
    <row r="29" spans="1:49" x14ac:dyDescent="0.3">
      <c r="A29" s="4" t="s">
        <v>275</v>
      </c>
      <c r="B29" s="4" t="s">
        <v>391</v>
      </c>
      <c r="C29" s="4"/>
      <c r="D29" s="4" t="s">
        <v>714</v>
      </c>
      <c r="E29" s="4"/>
      <c r="F29" s="4" t="s">
        <v>1389</v>
      </c>
      <c r="G29" s="4"/>
      <c r="H29" s="4"/>
      <c r="I29" s="4"/>
      <c r="J29" s="4"/>
      <c r="K29" s="4"/>
      <c r="L29" s="4"/>
      <c r="M29" s="4"/>
      <c r="N29" s="4"/>
      <c r="O29" s="4" t="s">
        <v>52</v>
      </c>
      <c r="P29" s="4" t="s">
        <v>52</v>
      </c>
      <c r="Q29" s="4" t="s">
        <v>52</v>
      </c>
      <c r="R29" s="4" t="s">
        <v>1390</v>
      </c>
      <c r="S29" s="4" t="s">
        <v>1391</v>
      </c>
      <c r="T29" s="4" t="s">
        <v>1192</v>
      </c>
      <c r="U29" s="4"/>
      <c r="V29" s="4"/>
      <c r="W29" s="4"/>
      <c r="X29" s="4" t="s">
        <v>53</v>
      </c>
      <c r="Y29" s="4"/>
      <c r="Z29" s="4"/>
      <c r="AA29" s="4" t="s">
        <v>53</v>
      </c>
      <c r="AB29" s="4"/>
      <c r="AC29" s="4"/>
      <c r="AD29" s="4"/>
      <c r="AE29" s="4"/>
      <c r="AF29" s="4"/>
      <c r="AG29" s="4" t="s">
        <v>449</v>
      </c>
      <c r="AH29" s="4"/>
      <c r="AI29" s="4"/>
      <c r="AJ29" s="4"/>
      <c r="AK29" s="4"/>
      <c r="AL29" s="4" t="s">
        <v>1392</v>
      </c>
      <c r="AM29" s="4"/>
      <c r="AN29" s="4" t="s">
        <v>1393</v>
      </c>
      <c r="AO29" s="4"/>
      <c r="AP29" s="4" t="s">
        <v>1394</v>
      </c>
      <c r="AQ29" s="4"/>
      <c r="AS29" s="4"/>
      <c r="AT29" s="4"/>
      <c r="AU29" s="4"/>
      <c r="AV29" s="4" t="s">
        <v>71</v>
      </c>
      <c r="AW29" s="4" t="s">
        <v>108</v>
      </c>
    </row>
    <row r="30" spans="1:49" x14ac:dyDescent="0.3">
      <c r="A30" s="4" t="s">
        <v>283</v>
      </c>
      <c r="B30" s="4" t="s">
        <v>374</v>
      </c>
      <c r="C30" s="4"/>
      <c r="D30" s="4" t="s">
        <v>374</v>
      </c>
      <c r="E30" s="4"/>
      <c r="F30" s="4" t="s">
        <v>1395</v>
      </c>
      <c r="G30" s="4"/>
      <c r="H30" s="4"/>
      <c r="I30" s="4"/>
      <c r="J30" s="4"/>
      <c r="K30" s="4"/>
      <c r="L30" s="4"/>
      <c r="M30" s="4"/>
      <c r="N30" s="4"/>
      <c r="O30" s="4" t="s">
        <v>52</v>
      </c>
      <c r="P30" s="4" t="s">
        <v>52</v>
      </c>
      <c r="Q30" s="4" t="s">
        <v>52</v>
      </c>
      <c r="R30" s="4" t="s">
        <v>1396</v>
      </c>
      <c r="S30" s="4" t="s">
        <v>1397</v>
      </c>
      <c r="T30" s="4"/>
      <c r="U30" s="4"/>
      <c r="V30" s="4" t="s">
        <v>1192</v>
      </c>
      <c r="W30" s="4"/>
      <c r="X30" s="4"/>
      <c r="Y30" s="4"/>
      <c r="Z30" s="4" t="s">
        <v>53</v>
      </c>
      <c r="AA30" s="4"/>
      <c r="AB30" s="4"/>
      <c r="AC30" s="4"/>
      <c r="AD30" s="4" t="s">
        <v>53</v>
      </c>
      <c r="AE30" s="4"/>
      <c r="AF30" s="4" t="s">
        <v>793</v>
      </c>
      <c r="AG30" s="4"/>
      <c r="AH30" s="4"/>
      <c r="AI30" s="4"/>
      <c r="AJ30" s="4"/>
      <c r="AK30" s="4"/>
      <c r="AL30" s="4" t="s">
        <v>1398</v>
      </c>
      <c r="AM30" s="4"/>
      <c r="AN30" s="4" t="s">
        <v>1399</v>
      </c>
      <c r="AO30" s="4"/>
      <c r="AP30" s="4" t="s">
        <v>1399</v>
      </c>
      <c r="AQ30" s="4"/>
      <c r="AS30" s="4"/>
      <c r="AT30" s="4"/>
      <c r="AU30" s="4"/>
      <c r="AV30" s="4" t="s">
        <v>133</v>
      </c>
      <c r="AW30" s="4" t="s">
        <v>158</v>
      </c>
    </row>
    <row r="31" spans="1:49" x14ac:dyDescent="0.3">
      <c r="A31" s="4" t="s">
        <v>291</v>
      </c>
      <c r="B31" s="4" t="s">
        <v>136</v>
      </c>
      <c r="C31" s="4"/>
      <c r="D31" s="4" t="s">
        <v>147</v>
      </c>
      <c r="E31" s="4"/>
      <c r="F31" s="4" t="s">
        <v>1400</v>
      </c>
      <c r="G31" s="4"/>
      <c r="H31" s="4"/>
      <c r="I31" s="4"/>
      <c r="J31" s="4"/>
      <c r="K31" s="4"/>
      <c r="L31" s="4"/>
      <c r="M31" s="4"/>
      <c r="N31" s="4"/>
      <c r="O31" s="4" t="s">
        <v>52</v>
      </c>
      <c r="P31" s="4" t="s">
        <v>52</v>
      </c>
      <c r="Q31" s="4" t="s">
        <v>52</v>
      </c>
      <c r="R31" s="4" t="s">
        <v>1268</v>
      </c>
      <c r="S31" s="4" t="s">
        <v>1401</v>
      </c>
      <c r="T31" s="4"/>
      <c r="U31" s="4"/>
      <c r="V31" s="4" t="s">
        <v>1192</v>
      </c>
      <c r="W31" s="4"/>
      <c r="X31" s="4"/>
      <c r="Y31" s="4"/>
      <c r="Z31" s="4" t="s">
        <v>53</v>
      </c>
      <c r="AA31" s="4"/>
      <c r="AB31" s="4"/>
      <c r="AC31" s="4"/>
      <c r="AD31" s="4" t="s">
        <v>53</v>
      </c>
      <c r="AE31" s="4"/>
      <c r="AF31" s="4" t="s">
        <v>331</v>
      </c>
      <c r="AG31" s="4"/>
      <c r="AH31" s="4"/>
      <c r="AI31" s="4"/>
      <c r="AJ31" s="4"/>
      <c r="AK31" s="4"/>
      <c r="AL31" s="4" t="s">
        <v>1402</v>
      </c>
      <c r="AM31" s="4"/>
      <c r="AN31" s="4" t="s">
        <v>457</v>
      </c>
      <c r="AO31" s="4"/>
      <c r="AP31" s="4" t="s">
        <v>1403</v>
      </c>
      <c r="AQ31" s="4"/>
      <c r="AS31" s="4"/>
      <c r="AT31" s="4"/>
      <c r="AU31" s="4"/>
      <c r="AV31" s="4" t="s">
        <v>108</v>
      </c>
      <c r="AW31" s="4" t="s">
        <v>439</v>
      </c>
    </row>
    <row r="32" spans="1:49" x14ac:dyDescent="0.3">
      <c r="A32" s="4" t="s">
        <v>296</v>
      </c>
      <c r="B32" s="4" t="s">
        <v>110</v>
      </c>
      <c r="C32" s="4"/>
      <c r="D32" s="4" t="s">
        <v>97</v>
      </c>
      <c r="E32" s="4"/>
      <c r="F32" s="4" t="s">
        <v>1404</v>
      </c>
      <c r="G32" s="4"/>
      <c r="H32" s="4"/>
      <c r="I32" s="4"/>
      <c r="J32" s="4"/>
      <c r="K32" s="4"/>
      <c r="L32" s="4"/>
      <c r="M32" s="4"/>
      <c r="N32" s="4"/>
      <c r="O32" s="4" t="s">
        <v>52</v>
      </c>
      <c r="P32" s="4" t="s">
        <v>52</v>
      </c>
      <c r="Q32" s="4" t="s">
        <v>52</v>
      </c>
      <c r="R32" s="4" t="s">
        <v>1405</v>
      </c>
      <c r="S32" s="4" t="s">
        <v>1406</v>
      </c>
      <c r="T32" s="4"/>
      <c r="U32" s="4"/>
      <c r="V32" s="4" t="s">
        <v>1192</v>
      </c>
      <c r="W32" s="4"/>
      <c r="X32" s="4"/>
      <c r="Y32" s="4"/>
      <c r="Z32" s="4" t="s">
        <v>53</v>
      </c>
      <c r="AA32" s="4"/>
      <c r="AB32" s="4"/>
      <c r="AC32" s="4"/>
      <c r="AD32" s="4" t="s">
        <v>53</v>
      </c>
      <c r="AE32" s="4"/>
      <c r="AF32" s="4" t="s">
        <v>301</v>
      </c>
      <c r="AG32" s="4"/>
      <c r="AH32" s="4"/>
      <c r="AI32" s="4"/>
      <c r="AJ32" s="4"/>
      <c r="AK32" s="4"/>
      <c r="AL32" s="4" t="s">
        <v>522</v>
      </c>
      <c r="AM32" s="4"/>
      <c r="AN32" s="4" t="s">
        <v>714</v>
      </c>
      <c r="AO32" s="4"/>
      <c r="AP32" s="4" t="s">
        <v>777</v>
      </c>
      <c r="AQ32" s="4"/>
      <c r="AS32" s="4"/>
      <c r="AT32" s="4"/>
      <c r="AU32" s="4"/>
      <c r="AV32" s="4" t="s">
        <v>274</v>
      </c>
      <c r="AW32" s="4" t="s">
        <v>263</v>
      </c>
    </row>
    <row r="33" spans="1:49" x14ac:dyDescent="0.3">
      <c r="A33" s="4" t="s">
        <v>303</v>
      </c>
      <c r="B33" s="4" t="s">
        <v>1234</v>
      </c>
      <c r="C33" s="4"/>
      <c r="D33" s="4" t="s">
        <v>1234</v>
      </c>
      <c r="E33" s="4"/>
      <c r="F33" s="4" t="s">
        <v>1234</v>
      </c>
      <c r="G33" s="4"/>
      <c r="H33" s="4"/>
      <c r="I33" s="4"/>
      <c r="J33" s="4"/>
      <c r="K33" s="4"/>
      <c r="L33" s="4"/>
      <c r="M33" s="4"/>
      <c r="N33" s="4"/>
      <c r="O33" s="4" t="s">
        <v>1234</v>
      </c>
      <c r="P33" s="4" t="s">
        <v>1234</v>
      </c>
      <c r="Q33" s="4" t="s">
        <v>1234</v>
      </c>
      <c r="R33" s="4" t="s">
        <v>1234</v>
      </c>
      <c r="S33" s="4" t="s">
        <v>1234</v>
      </c>
      <c r="T33" s="4"/>
      <c r="U33" s="4"/>
      <c r="V33" s="4" t="s">
        <v>1234</v>
      </c>
      <c r="W33" s="4"/>
      <c r="X33" s="4"/>
      <c r="Y33" s="4"/>
      <c r="Z33" s="4" t="s">
        <v>1234</v>
      </c>
      <c r="AA33" s="4"/>
      <c r="AB33" s="4"/>
      <c r="AC33" s="4"/>
      <c r="AD33" s="4" t="s">
        <v>1234</v>
      </c>
      <c r="AE33" s="4"/>
      <c r="AF33" s="4" t="s">
        <v>1234</v>
      </c>
      <c r="AG33" s="4"/>
      <c r="AH33" s="4"/>
      <c r="AI33" s="4"/>
      <c r="AJ33" s="4"/>
      <c r="AK33" s="4"/>
      <c r="AL33" s="4" t="s">
        <v>1234</v>
      </c>
      <c r="AM33" s="4"/>
      <c r="AN33" s="4" t="s">
        <v>1234</v>
      </c>
      <c r="AO33" s="4"/>
      <c r="AP33" s="4" t="s">
        <v>1234</v>
      </c>
      <c r="AQ33" s="4"/>
      <c r="AS33" s="4"/>
      <c r="AT33" s="4"/>
      <c r="AU33" s="4"/>
      <c r="AV33" s="4" t="s">
        <v>1234</v>
      </c>
      <c r="AW33" s="4" t="s">
        <v>1234</v>
      </c>
    </row>
    <row r="34" spans="1:49" x14ac:dyDescent="0.3">
      <c r="A34" s="4" t="s">
        <v>310</v>
      </c>
      <c r="B34" s="4" t="s">
        <v>79</v>
      </c>
      <c r="C34" s="4"/>
      <c r="D34" s="4" t="s">
        <v>107</v>
      </c>
      <c r="E34" s="4"/>
      <c r="F34" s="4" t="s">
        <v>1407</v>
      </c>
      <c r="G34" s="4"/>
      <c r="H34" s="4"/>
      <c r="I34" s="4"/>
      <c r="J34" s="4"/>
      <c r="K34" s="4"/>
      <c r="L34" s="4"/>
      <c r="M34" s="4"/>
      <c r="N34" s="4"/>
      <c r="O34" s="4" t="s">
        <v>52</v>
      </c>
      <c r="P34" s="4" t="s">
        <v>52</v>
      </c>
      <c r="Q34" s="4" t="s">
        <v>52</v>
      </c>
      <c r="R34" s="4" t="s">
        <v>1408</v>
      </c>
      <c r="S34" s="4" t="s">
        <v>1409</v>
      </c>
      <c r="T34" s="4"/>
      <c r="U34" s="4"/>
      <c r="V34" s="4" t="s">
        <v>1410</v>
      </c>
      <c r="W34" s="4"/>
      <c r="X34" s="4"/>
      <c r="Y34" s="4"/>
      <c r="Z34" s="4" t="s">
        <v>1411</v>
      </c>
      <c r="AA34" s="4"/>
      <c r="AB34" s="4"/>
      <c r="AC34" s="4"/>
      <c r="AD34" s="4" t="s">
        <v>1412</v>
      </c>
      <c r="AE34" s="4"/>
      <c r="AF34" s="4" t="s">
        <v>123</v>
      </c>
      <c r="AG34" s="4"/>
      <c r="AH34" s="4"/>
      <c r="AI34" s="4"/>
      <c r="AJ34" s="4"/>
      <c r="AK34" s="4"/>
      <c r="AL34" s="4" t="s">
        <v>1413</v>
      </c>
      <c r="AM34" s="4"/>
      <c r="AN34" s="4" t="s">
        <v>1414</v>
      </c>
      <c r="AO34" s="4"/>
      <c r="AP34" s="4" t="s">
        <v>1259</v>
      </c>
      <c r="AQ34" s="4"/>
      <c r="AS34" s="4"/>
      <c r="AT34" s="4"/>
      <c r="AU34" s="4"/>
      <c r="AV34" s="4" t="s">
        <v>117</v>
      </c>
      <c r="AW34" s="4" t="s">
        <v>263</v>
      </c>
    </row>
    <row r="35" spans="1:49" x14ac:dyDescent="0.3">
      <c r="A35" s="4" t="s">
        <v>320</v>
      </c>
      <c r="B35" s="4" t="s">
        <v>206</v>
      </c>
      <c r="C35" s="4"/>
      <c r="D35" s="4" t="s">
        <v>453</v>
      </c>
      <c r="E35" s="4"/>
      <c r="F35" s="4" t="s">
        <v>1415</v>
      </c>
      <c r="G35" s="4"/>
      <c r="H35" s="4"/>
      <c r="I35" s="4"/>
      <c r="J35" s="4"/>
      <c r="K35" s="4"/>
      <c r="L35" s="4"/>
      <c r="M35" s="4"/>
      <c r="N35" s="4"/>
      <c r="O35" s="4" t="s">
        <v>52</v>
      </c>
      <c r="P35" s="4" t="s">
        <v>52</v>
      </c>
      <c r="Q35" s="4" t="s">
        <v>52</v>
      </c>
      <c r="R35" s="4" t="s">
        <v>1416</v>
      </c>
      <c r="S35" s="4" t="s">
        <v>1417</v>
      </c>
      <c r="T35" s="4" t="s">
        <v>1418</v>
      </c>
      <c r="U35" s="4"/>
      <c r="V35" s="4"/>
      <c r="W35" s="4"/>
      <c r="X35" s="4" t="s">
        <v>1419</v>
      </c>
      <c r="Y35" s="4"/>
      <c r="Z35" s="4"/>
      <c r="AA35" s="4" t="s">
        <v>1420</v>
      </c>
      <c r="AB35" s="4"/>
      <c r="AC35" s="4"/>
      <c r="AD35" s="4"/>
      <c r="AE35" s="4"/>
      <c r="AF35" s="4"/>
      <c r="AG35" s="4" t="s">
        <v>73</v>
      </c>
      <c r="AH35" s="4"/>
      <c r="AI35" s="4"/>
      <c r="AJ35" s="4"/>
      <c r="AK35" s="4"/>
      <c r="AL35" s="4" t="s">
        <v>1421</v>
      </c>
      <c r="AM35" s="4"/>
      <c r="AN35" s="4" t="s">
        <v>1422</v>
      </c>
      <c r="AO35" s="4"/>
      <c r="AP35" s="4" t="s">
        <v>1423</v>
      </c>
      <c r="AQ35" s="4"/>
      <c r="AS35" s="4"/>
      <c r="AT35" s="4"/>
      <c r="AU35" s="4"/>
      <c r="AV35" s="4" t="s">
        <v>71</v>
      </c>
      <c r="AW35" s="4" t="s">
        <v>206</v>
      </c>
    </row>
    <row r="36" spans="1:49" x14ac:dyDescent="0.3">
      <c r="A36" s="4" t="s">
        <v>330</v>
      </c>
      <c r="B36" s="4" t="s">
        <v>321</v>
      </c>
      <c r="C36" s="4"/>
      <c r="D36" s="4" t="s">
        <v>1424</v>
      </c>
      <c r="E36" s="4"/>
      <c r="F36" s="4" t="s">
        <v>1425</v>
      </c>
      <c r="G36" s="4"/>
      <c r="H36" s="4"/>
      <c r="I36" s="4" t="s">
        <v>1426</v>
      </c>
      <c r="J36" s="4"/>
      <c r="K36" s="4" t="s">
        <v>1427</v>
      </c>
      <c r="L36" s="4"/>
      <c r="M36" s="4"/>
      <c r="N36" s="4"/>
      <c r="O36" s="4" t="s">
        <v>52</v>
      </c>
      <c r="P36" s="4" t="s">
        <v>52</v>
      </c>
      <c r="Q36" s="4" t="s">
        <v>52</v>
      </c>
      <c r="R36" s="4" t="s">
        <v>1428</v>
      </c>
      <c r="S36" s="4" t="s">
        <v>1406</v>
      </c>
      <c r="T36" s="4" t="s">
        <v>429</v>
      </c>
      <c r="U36" s="4"/>
      <c r="V36" s="4"/>
      <c r="W36" s="4"/>
      <c r="X36" s="4" t="s">
        <v>1429</v>
      </c>
      <c r="Y36" s="4"/>
      <c r="Z36" s="4"/>
      <c r="AA36" s="4" t="s">
        <v>1429</v>
      </c>
      <c r="AB36" s="4"/>
      <c r="AC36" s="4"/>
      <c r="AD36" s="4"/>
      <c r="AE36" s="4"/>
      <c r="AF36" s="4"/>
      <c r="AG36" s="4" t="s">
        <v>554</v>
      </c>
      <c r="AH36" s="4"/>
      <c r="AI36" s="4"/>
      <c r="AJ36" s="4"/>
      <c r="AK36" s="4"/>
      <c r="AL36" s="4" t="s">
        <v>1430</v>
      </c>
      <c r="AM36" s="4"/>
      <c r="AN36" s="4" t="s">
        <v>1431</v>
      </c>
      <c r="AO36" s="4"/>
      <c r="AP36" s="4" t="s">
        <v>1432</v>
      </c>
      <c r="AQ36" s="4"/>
      <c r="AS36" s="4"/>
      <c r="AT36" s="4"/>
      <c r="AU36" s="4"/>
      <c r="AV36" s="4" t="s">
        <v>133</v>
      </c>
      <c r="AW36" s="4" t="s">
        <v>388</v>
      </c>
    </row>
    <row r="37" spans="1:49" x14ac:dyDescent="0.3">
      <c r="A37" s="4" t="s">
        <v>341</v>
      </c>
      <c r="B37" s="4" t="s">
        <v>136</v>
      </c>
      <c r="C37" s="4"/>
      <c r="D37" s="4" t="s">
        <v>172</v>
      </c>
      <c r="E37" s="4"/>
      <c r="F37" s="4" t="s">
        <v>1433</v>
      </c>
      <c r="G37" s="4"/>
      <c r="H37" s="4"/>
      <c r="I37" s="4" t="s">
        <v>457</v>
      </c>
      <c r="J37" s="4"/>
      <c r="K37" s="4" t="s">
        <v>579</v>
      </c>
      <c r="L37" s="4"/>
      <c r="M37" s="4"/>
      <c r="N37" s="4"/>
      <c r="O37" s="4" t="s">
        <v>1434</v>
      </c>
      <c r="P37" s="4" t="s">
        <v>1435</v>
      </c>
      <c r="Q37" s="4" t="s">
        <v>1435</v>
      </c>
      <c r="R37" s="4" t="s">
        <v>1436</v>
      </c>
      <c r="S37" s="4" t="s">
        <v>1437</v>
      </c>
      <c r="T37" s="4" t="s">
        <v>1192</v>
      </c>
      <c r="U37" s="4"/>
      <c r="V37" s="4"/>
      <c r="W37" s="4"/>
      <c r="X37" s="4" t="s">
        <v>53</v>
      </c>
      <c r="Y37" s="4"/>
      <c r="Z37" s="4"/>
      <c r="AA37" s="4" t="s">
        <v>53</v>
      </c>
      <c r="AB37" s="4"/>
      <c r="AC37" s="4"/>
      <c r="AD37" s="4"/>
      <c r="AE37" s="4"/>
      <c r="AF37" s="4"/>
      <c r="AG37" s="4" t="s">
        <v>449</v>
      </c>
      <c r="AH37" s="4"/>
      <c r="AI37" s="4"/>
      <c r="AJ37" s="4"/>
      <c r="AK37" s="4"/>
      <c r="AL37" s="4" t="s">
        <v>1438</v>
      </c>
      <c r="AM37" s="4"/>
      <c r="AN37" s="4" t="s">
        <v>198</v>
      </c>
      <c r="AO37" s="4"/>
      <c r="AP37" s="4" t="s">
        <v>1432</v>
      </c>
      <c r="AQ37" s="4"/>
      <c r="AS37" s="4"/>
      <c r="AT37" s="4"/>
      <c r="AU37" s="4"/>
      <c r="AV37" s="4" t="s">
        <v>134</v>
      </c>
      <c r="AW37" s="4" t="s">
        <v>206</v>
      </c>
    </row>
    <row r="38" spans="1:49" x14ac:dyDescent="0.3">
      <c r="A38" s="4" t="s">
        <v>349</v>
      </c>
      <c r="B38" s="4" t="s">
        <v>70</v>
      </c>
      <c r="C38" s="4"/>
      <c r="D38" s="4" t="s">
        <v>158</v>
      </c>
      <c r="E38" s="4"/>
      <c r="F38" s="4" t="s">
        <v>1439</v>
      </c>
      <c r="G38" s="4"/>
      <c r="H38" s="4"/>
      <c r="I38" s="4" t="s">
        <v>955</v>
      </c>
      <c r="J38" s="4"/>
      <c r="K38" s="4" t="s">
        <v>144</v>
      </c>
      <c r="L38" s="4"/>
      <c r="M38" s="4"/>
      <c r="N38" s="4"/>
      <c r="O38" s="4" t="s">
        <v>52</v>
      </c>
      <c r="P38" s="4" t="s">
        <v>52</v>
      </c>
      <c r="Q38" s="4" t="s">
        <v>52</v>
      </c>
      <c r="R38" s="4" t="s">
        <v>1440</v>
      </c>
      <c r="S38" s="4" t="s">
        <v>1441</v>
      </c>
      <c r="T38" s="4" t="s">
        <v>524</v>
      </c>
      <c r="U38" s="4"/>
      <c r="V38" s="4"/>
      <c r="W38" s="4"/>
      <c r="X38" s="4" t="s">
        <v>1442</v>
      </c>
      <c r="Y38" s="4"/>
      <c r="Z38" s="4"/>
      <c r="AA38" s="4" t="s">
        <v>1443</v>
      </c>
      <c r="AB38" s="4"/>
      <c r="AC38" s="4"/>
      <c r="AD38" s="4"/>
      <c r="AE38" s="4"/>
      <c r="AF38" s="4"/>
      <c r="AG38" s="4" t="s">
        <v>96</v>
      </c>
      <c r="AH38" s="4"/>
      <c r="AI38" s="4"/>
      <c r="AJ38" s="4"/>
      <c r="AK38" s="4"/>
      <c r="AL38" s="4" t="s">
        <v>1444</v>
      </c>
      <c r="AM38" s="4"/>
      <c r="AN38" s="4" t="s">
        <v>1445</v>
      </c>
      <c r="AO38" s="4"/>
      <c r="AP38" s="4" t="s">
        <v>1446</v>
      </c>
      <c r="AQ38" s="4"/>
      <c r="AS38" s="4"/>
      <c r="AT38" s="4"/>
      <c r="AU38" s="4"/>
      <c r="AV38" s="4" t="s">
        <v>108</v>
      </c>
      <c r="AW38" s="4" t="s">
        <v>301</v>
      </c>
    </row>
    <row r="39" spans="1:49" x14ac:dyDescent="0.3">
      <c r="A39" s="4" t="s">
        <v>359</v>
      </c>
      <c r="B39" s="4" t="s">
        <v>228</v>
      </c>
      <c r="C39" s="4"/>
      <c r="D39" s="4" t="s">
        <v>107</v>
      </c>
      <c r="E39" s="4"/>
      <c r="F39" s="4" t="s">
        <v>1447</v>
      </c>
      <c r="G39" s="4"/>
      <c r="H39" s="4"/>
      <c r="I39" s="4" t="s">
        <v>630</v>
      </c>
      <c r="J39" s="4"/>
      <c r="K39" s="4" t="s">
        <v>866</v>
      </c>
      <c r="L39" s="4"/>
      <c r="M39" s="4"/>
      <c r="N39" s="4"/>
      <c r="O39" s="4" t="s">
        <v>52</v>
      </c>
      <c r="P39" s="4" t="s">
        <v>52</v>
      </c>
      <c r="Q39" s="4" t="s">
        <v>52</v>
      </c>
      <c r="R39" s="4" t="s">
        <v>1448</v>
      </c>
      <c r="S39" s="4" t="s">
        <v>1449</v>
      </c>
      <c r="T39" s="4" t="s">
        <v>777</v>
      </c>
      <c r="U39" s="4"/>
      <c r="V39" s="4"/>
      <c r="W39" s="4"/>
      <c r="X39" s="4" t="s">
        <v>1450</v>
      </c>
      <c r="Y39" s="4"/>
      <c r="Z39" s="4"/>
      <c r="AA39" s="4" t="s">
        <v>1451</v>
      </c>
      <c r="AB39" s="4"/>
      <c r="AC39" s="4"/>
      <c r="AD39" s="4"/>
      <c r="AE39" s="4"/>
      <c r="AF39" s="4"/>
      <c r="AG39" s="4" t="s">
        <v>707</v>
      </c>
      <c r="AH39" s="4"/>
      <c r="AI39" s="4"/>
      <c r="AJ39" s="4"/>
      <c r="AK39" s="4"/>
      <c r="AL39" s="4" t="s">
        <v>1452</v>
      </c>
      <c r="AM39" s="4"/>
      <c r="AN39" s="4" t="s">
        <v>1453</v>
      </c>
      <c r="AO39" s="4"/>
      <c r="AP39" s="4" t="s">
        <v>1125</v>
      </c>
      <c r="AQ39" s="4"/>
      <c r="AS39" s="4"/>
      <c r="AT39" s="4"/>
      <c r="AU39" s="4"/>
      <c r="AV39" s="4" t="s">
        <v>108</v>
      </c>
      <c r="AW39" s="4" t="s">
        <v>388</v>
      </c>
    </row>
    <row r="40" spans="1:49" x14ac:dyDescent="0.3">
      <c r="A40" s="4" t="s">
        <v>366</v>
      </c>
      <c r="B40" s="4" t="s">
        <v>570</v>
      </c>
      <c r="C40" s="4"/>
      <c r="D40" s="4" t="s">
        <v>70</v>
      </c>
      <c r="E40" s="4"/>
      <c r="F40" s="4" t="s">
        <v>1454</v>
      </c>
      <c r="G40" s="4"/>
      <c r="H40" s="4"/>
      <c r="I40" s="4" t="s">
        <v>630</v>
      </c>
      <c r="J40" s="4"/>
      <c r="K40" s="4" t="s">
        <v>50</v>
      </c>
      <c r="L40" s="4"/>
      <c r="M40" s="4"/>
      <c r="N40" s="4"/>
      <c r="O40" s="4" t="s">
        <v>52</v>
      </c>
      <c r="P40" s="4" t="s">
        <v>52</v>
      </c>
      <c r="Q40" s="4" t="s">
        <v>52</v>
      </c>
      <c r="R40" s="4" t="s">
        <v>1455</v>
      </c>
      <c r="S40" s="4" t="s">
        <v>1456</v>
      </c>
      <c r="T40" s="4" t="s">
        <v>1457</v>
      </c>
      <c r="U40" s="4"/>
      <c r="V40" s="4"/>
      <c r="W40" s="4"/>
      <c r="X40" s="4" t="s">
        <v>1458</v>
      </c>
      <c r="Y40" s="4"/>
      <c r="Z40" s="4"/>
      <c r="AA40" s="4" t="s">
        <v>1459</v>
      </c>
      <c r="AB40" s="4"/>
      <c r="AC40" s="4"/>
      <c r="AD40" s="4"/>
      <c r="AE40" s="4"/>
      <c r="AF40" s="4"/>
      <c r="AG40" s="4" t="s">
        <v>793</v>
      </c>
      <c r="AH40" s="4"/>
      <c r="AI40" s="4"/>
      <c r="AJ40" s="4"/>
      <c r="AK40" s="4"/>
      <c r="AL40" s="4" t="s">
        <v>1460</v>
      </c>
      <c r="AM40" s="4"/>
      <c r="AN40" s="4" t="s">
        <v>1461</v>
      </c>
      <c r="AO40" s="4"/>
      <c r="AP40" s="4" t="s">
        <v>1462</v>
      </c>
      <c r="AQ40" s="4"/>
      <c r="AS40" s="4"/>
      <c r="AT40" s="4"/>
      <c r="AU40" s="4"/>
      <c r="AV40" s="4" t="s">
        <v>121</v>
      </c>
      <c r="AW40" s="4" t="s">
        <v>206</v>
      </c>
    </row>
    <row r="41" spans="1:49" x14ac:dyDescent="0.3">
      <c r="A41" s="4" t="s">
        <v>376</v>
      </c>
      <c r="B41" s="4" t="s">
        <v>298</v>
      </c>
      <c r="C41" s="4"/>
      <c r="D41" s="4" t="s">
        <v>460</v>
      </c>
      <c r="E41" s="4"/>
      <c r="F41" s="4" t="s">
        <v>1463</v>
      </c>
      <c r="G41" s="4"/>
      <c r="H41" s="4"/>
      <c r="I41" s="4"/>
      <c r="J41" s="4"/>
      <c r="K41" s="4"/>
      <c r="L41" s="4"/>
      <c r="M41" s="4"/>
      <c r="N41" s="4"/>
      <c r="O41" s="4" t="s">
        <v>52</v>
      </c>
      <c r="P41" s="4" t="s">
        <v>52</v>
      </c>
      <c r="Q41" s="4" t="s">
        <v>52</v>
      </c>
      <c r="R41" s="4" t="s">
        <v>1464</v>
      </c>
      <c r="S41" s="4" t="s">
        <v>1465</v>
      </c>
      <c r="T41" s="4" t="s">
        <v>1466</v>
      </c>
      <c r="U41" s="4"/>
      <c r="V41" s="4"/>
      <c r="W41" s="4"/>
      <c r="X41" s="4" t="s">
        <v>1467</v>
      </c>
      <c r="Y41" s="4"/>
      <c r="Z41" s="4"/>
      <c r="AA41" s="4" t="s">
        <v>1223</v>
      </c>
      <c r="AB41" s="4"/>
      <c r="AC41" s="4"/>
      <c r="AD41" s="4"/>
      <c r="AE41" s="4"/>
      <c r="AF41" s="4"/>
      <c r="AG41" s="4" t="s">
        <v>263</v>
      </c>
      <c r="AH41" s="4"/>
      <c r="AI41" s="4"/>
      <c r="AJ41" s="4"/>
      <c r="AK41" s="4"/>
      <c r="AL41" s="4" t="s">
        <v>1468</v>
      </c>
      <c r="AM41" s="4"/>
      <c r="AN41" s="4" t="s">
        <v>1469</v>
      </c>
      <c r="AO41" s="4"/>
      <c r="AP41" s="4" t="s">
        <v>1470</v>
      </c>
      <c r="AQ41" s="4"/>
      <c r="AS41" s="4"/>
      <c r="AT41" s="4"/>
      <c r="AU41" s="4"/>
      <c r="AV41" s="4" t="s">
        <v>117</v>
      </c>
      <c r="AW41" s="4" t="s">
        <v>206</v>
      </c>
    </row>
    <row r="42" spans="1:49" x14ac:dyDescent="0.3">
      <c r="A42" s="4" t="s">
        <v>385</v>
      </c>
      <c r="B42" s="4" t="s">
        <v>511</v>
      </c>
      <c r="C42" s="4"/>
      <c r="D42" s="4" t="s">
        <v>84</v>
      </c>
      <c r="E42" s="4"/>
      <c r="F42" s="4" t="s">
        <v>1471</v>
      </c>
      <c r="G42" s="4"/>
      <c r="H42" s="4"/>
      <c r="I42" s="4"/>
      <c r="J42" s="4"/>
      <c r="K42" s="4"/>
      <c r="L42" s="4"/>
      <c r="M42" s="4"/>
      <c r="N42" s="4"/>
      <c r="O42" s="4" t="s">
        <v>52</v>
      </c>
      <c r="P42" s="4" t="s">
        <v>52</v>
      </c>
      <c r="Q42" s="4" t="s">
        <v>52</v>
      </c>
      <c r="R42" s="4" t="s">
        <v>1472</v>
      </c>
      <c r="S42" s="4" t="s">
        <v>1473</v>
      </c>
      <c r="T42" s="4"/>
      <c r="U42" s="4"/>
      <c r="V42" s="4" t="s">
        <v>1474</v>
      </c>
      <c r="W42" s="4"/>
      <c r="X42" s="4"/>
      <c r="Y42" s="4"/>
      <c r="Z42" s="4" t="s">
        <v>1475</v>
      </c>
      <c r="AA42" s="4"/>
      <c r="AB42" s="4"/>
      <c r="AC42" s="4"/>
      <c r="AD42" s="4" t="s">
        <v>1476</v>
      </c>
      <c r="AE42" s="4"/>
      <c r="AF42" s="4" t="s">
        <v>245</v>
      </c>
      <c r="AG42" s="4"/>
      <c r="AH42" s="4"/>
      <c r="AI42" s="4"/>
      <c r="AJ42" s="4"/>
      <c r="AK42" s="4"/>
      <c r="AL42" s="4" t="s">
        <v>1477</v>
      </c>
      <c r="AM42" s="4"/>
      <c r="AN42" s="4" t="s">
        <v>871</v>
      </c>
      <c r="AO42" s="4"/>
      <c r="AP42" s="4" t="s">
        <v>1478</v>
      </c>
      <c r="AQ42" s="4"/>
      <c r="AS42" s="4"/>
      <c r="AT42" s="4"/>
      <c r="AU42" s="4"/>
      <c r="AV42" s="4" t="s">
        <v>108</v>
      </c>
      <c r="AW42" s="4" t="s">
        <v>117</v>
      </c>
    </row>
    <row r="43" spans="1:49" x14ac:dyDescent="0.3">
      <c r="A43" s="4" t="s">
        <v>394</v>
      </c>
      <c r="B43" s="4" t="s">
        <v>661</v>
      </c>
      <c r="C43" s="4"/>
      <c r="D43" s="4" t="s">
        <v>566</v>
      </c>
      <c r="E43" s="4"/>
      <c r="F43" s="4" t="s">
        <v>1479</v>
      </c>
      <c r="G43" s="4"/>
      <c r="H43" s="4"/>
      <c r="I43" s="4"/>
      <c r="J43" s="4"/>
      <c r="K43" s="4"/>
      <c r="L43" s="4"/>
      <c r="M43" s="4"/>
      <c r="N43" s="4"/>
      <c r="O43" s="4" t="s">
        <v>52</v>
      </c>
      <c r="P43" s="4" t="s">
        <v>52</v>
      </c>
      <c r="Q43" s="4" t="s">
        <v>52</v>
      </c>
      <c r="R43" s="4" t="s">
        <v>1480</v>
      </c>
      <c r="S43" s="4" t="s">
        <v>313</v>
      </c>
      <c r="T43" s="4"/>
      <c r="U43" s="4"/>
      <c r="V43" s="4" t="s">
        <v>432</v>
      </c>
      <c r="W43" s="4"/>
      <c r="X43" s="4"/>
      <c r="Y43" s="4"/>
      <c r="Z43" s="4" t="s">
        <v>1481</v>
      </c>
      <c r="AA43" s="4"/>
      <c r="AB43" s="4"/>
      <c r="AC43" s="4"/>
      <c r="AD43" s="4" t="s">
        <v>1482</v>
      </c>
      <c r="AE43" s="4"/>
      <c r="AF43" s="4" t="s">
        <v>478</v>
      </c>
      <c r="AG43" s="4"/>
      <c r="AH43" s="4"/>
      <c r="AI43" s="4"/>
      <c r="AJ43" s="4"/>
      <c r="AK43" s="4"/>
      <c r="AL43" s="4" t="s">
        <v>1483</v>
      </c>
      <c r="AM43" s="4"/>
      <c r="AN43" s="4" t="s">
        <v>1484</v>
      </c>
      <c r="AO43" s="4"/>
      <c r="AP43" s="4" t="s">
        <v>1132</v>
      </c>
      <c r="AQ43" s="4"/>
      <c r="AS43" s="4"/>
      <c r="AT43" s="4"/>
      <c r="AU43" s="4"/>
      <c r="AV43" s="4" t="s">
        <v>274</v>
      </c>
      <c r="AW43" s="4" t="s">
        <v>439</v>
      </c>
    </row>
    <row r="44" spans="1:49" x14ac:dyDescent="0.3">
      <c r="A44" s="4" t="s">
        <v>402</v>
      </c>
      <c r="B44" s="4" t="s">
        <v>553</v>
      </c>
      <c r="C44" s="4"/>
      <c r="D44" s="4" t="s">
        <v>368</v>
      </c>
      <c r="E44" s="4"/>
      <c r="F44" s="4" t="s">
        <v>1485</v>
      </c>
      <c r="G44" s="4"/>
      <c r="H44" s="4"/>
      <c r="I44" s="4"/>
      <c r="J44" s="4"/>
      <c r="K44" s="4"/>
      <c r="L44" s="4"/>
      <c r="M44" s="4"/>
      <c r="N44" s="4"/>
      <c r="O44" s="4" t="s">
        <v>52</v>
      </c>
      <c r="P44" s="4" t="s">
        <v>52</v>
      </c>
      <c r="Q44" s="4" t="s">
        <v>52</v>
      </c>
      <c r="R44" s="4" t="s">
        <v>1486</v>
      </c>
      <c r="S44" s="4" t="s">
        <v>1487</v>
      </c>
      <c r="T44" s="4"/>
      <c r="U44" s="4"/>
      <c r="V44" s="4" t="s">
        <v>94</v>
      </c>
      <c r="W44" s="4"/>
      <c r="X44" s="4"/>
      <c r="Y44" s="4"/>
      <c r="Z44" s="4" t="s">
        <v>1488</v>
      </c>
      <c r="AA44" s="4"/>
      <c r="AB44" s="4"/>
      <c r="AC44" s="4"/>
      <c r="AD44" s="4" t="s">
        <v>1223</v>
      </c>
      <c r="AE44" s="4"/>
      <c r="AF44" s="4" t="s">
        <v>462</v>
      </c>
      <c r="AG44" s="4"/>
      <c r="AH44" s="4"/>
      <c r="AI44" s="4"/>
      <c r="AJ44" s="4"/>
      <c r="AK44" s="4"/>
      <c r="AL44" s="4" t="s">
        <v>1489</v>
      </c>
      <c r="AM44" s="4"/>
      <c r="AN44" s="4" t="s">
        <v>486</v>
      </c>
      <c r="AO44" s="4"/>
      <c r="AP44" s="4" t="s">
        <v>357</v>
      </c>
      <c r="AQ44" s="4"/>
      <c r="AS44" s="4" t="s">
        <v>488</v>
      </c>
      <c r="AT44" s="4" t="s">
        <v>730</v>
      </c>
      <c r="AU44" s="4" t="s">
        <v>730</v>
      </c>
      <c r="AV44" s="4" t="s">
        <v>274</v>
      </c>
      <c r="AW44" s="4" t="s">
        <v>439</v>
      </c>
    </row>
    <row r="45" spans="1:49" x14ac:dyDescent="0.3">
      <c r="A45" s="4" t="s">
        <v>411</v>
      </c>
      <c r="B45" s="4" t="s">
        <v>1234</v>
      </c>
      <c r="C45" s="4"/>
      <c r="D45" s="4" t="s">
        <v>1234</v>
      </c>
      <c r="E45" s="4"/>
      <c r="F45" s="4" t="s">
        <v>1234</v>
      </c>
      <c r="G45" s="4"/>
      <c r="H45" s="4"/>
      <c r="I45" s="4"/>
      <c r="J45" s="4"/>
      <c r="K45" s="4"/>
      <c r="L45" s="4"/>
      <c r="M45" s="4"/>
      <c r="N45" s="4"/>
      <c r="O45" s="4" t="s">
        <v>1234</v>
      </c>
      <c r="P45" s="4" t="s">
        <v>1234</v>
      </c>
      <c r="Q45" s="4" t="s">
        <v>1234</v>
      </c>
      <c r="R45" s="4" t="s">
        <v>1234</v>
      </c>
      <c r="S45" s="4" t="s">
        <v>1234</v>
      </c>
      <c r="T45" s="4"/>
      <c r="U45" s="4"/>
      <c r="V45" s="4" t="s">
        <v>1234</v>
      </c>
      <c r="W45" s="4"/>
      <c r="X45" s="4"/>
      <c r="Y45" s="4"/>
      <c r="Z45" s="4" t="s">
        <v>1234</v>
      </c>
      <c r="AA45" s="4"/>
      <c r="AB45" s="4"/>
      <c r="AC45" s="4"/>
      <c r="AD45" s="4" t="s">
        <v>1234</v>
      </c>
      <c r="AE45" s="4"/>
      <c r="AF45" s="4" t="s">
        <v>1234</v>
      </c>
      <c r="AG45" s="4"/>
      <c r="AH45" s="4"/>
      <c r="AI45" s="4"/>
      <c r="AJ45" s="4"/>
      <c r="AK45" s="4"/>
      <c r="AL45" s="4" t="s">
        <v>1234</v>
      </c>
      <c r="AM45" s="4"/>
      <c r="AN45" s="4" t="s">
        <v>1234</v>
      </c>
      <c r="AO45" s="4"/>
      <c r="AP45" s="4" t="s">
        <v>1234</v>
      </c>
      <c r="AQ45" s="4"/>
      <c r="AS45" s="4" t="s">
        <v>1234</v>
      </c>
      <c r="AT45" s="4" t="s">
        <v>1234</v>
      </c>
      <c r="AU45" s="4" t="s">
        <v>1234</v>
      </c>
      <c r="AV45" s="4" t="s">
        <v>1234</v>
      </c>
      <c r="AW45" s="4" t="s">
        <v>1234</v>
      </c>
    </row>
    <row r="46" spans="1:49" x14ac:dyDescent="0.3">
      <c r="A46" s="4" t="s">
        <v>420</v>
      </c>
      <c r="B46" s="4" t="s">
        <v>59</v>
      </c>
      <c r="C46" s="4"/>
      <c r="D46" s="4" t="s">
        <v>71</v>
      </c>
      <c r="E46" s="4"/>
      <c r="F46" s="4" t="s">
        <v>1490</v>
      </c>
      <c r="G46" s="4"/>
      <c r="H46" s="4"/>
      <c r="I46" s="4"/>
      <c r="J46" s="4"/>
      <c r="K46" s="4"/>
      <c r="L46" s="4"/>
      <c r="M46" s="4"/>
      <c r="N46" s="4"/>
      <c r="O46" s="4" t="s">
        <v>52</v>
      </c>
      <c r="P46" s="4" t="s">
        <v>52</v>
      </c>
      <c r="Q46" s="4" t="s">
        <v>52</v>
      </c>
      <c r="R46" s="4" t="s">
        <v>1491</v>
      </c>
      <c r="S46" s="4" t="s">
        <v>1492</v>
      </c>
      <c r="T46" s="4"/>
      <c r="U46" s="4"/>
      <c r="V46" s="4" t="s">
        <v>160</v>
      </c>
      <c r="W46" s="4"/>
      <c r="X46" s="4"/>
      <c r="Y46" s="4"/>
      <c r="Z46" s="4" t="s">
        <v>993</v>
      </c>
      <c r="AA46" s="4"/>
      <c r="AB46" s="4"/>
      <c r="AC46" s="4"/>
      <c r="AD46" s="4" t="s">
        <v>1493</v>
      </c>
      <c r="AE46" s="4"/>
      <c r="AF46" s="4" t="s">
        <v>308</v>
      </c>
      <c r="AG46" s="4"/>
      <c r="AH46" s="4"/>
      <c r="AI46" s="4"/>
      <c r="AJ46" s="4"/>
      <c r="AK46" s="4"/>
      <c r="AL46" s="4" t="s">
        <v>1494</v>
      </c>
      <c r="AM46" s="4"/>
      <c r="AN46" s="4" t="s">
        <v>1495</v>
      </c>
      <c r="AO46" s="4"/>
      <c r="AP46" s="4" t="s">
        <v>1496</v>
      </c>
      <c r="AQ46" s="4"/>
      <c r="AS46" s="4" t="s">
        <v>52</v>
      </c>
      <c r="AT46" s="4" t="s">
        <v>52</v>
      </c>
      <c r="AU46" s="4" t="s">
        <v>52</v>
      </c>
      <c r="AV46" s="4" t="s">
        <v>228</v>
      </c>
      <c r="AW46" s="4" t="s">
        <v>263</v>
      </c>
    </row>
    <row r="47" spans="1:49" x14ac:dyDescent="0.3">
      <c r="A47" s="4" t="s">
        <v>427</v>
      </c>
      <c r="B47" s="4" t="s">
        <v>79</v>
      </c>
      <c r="C47" s="4"/>
      <c r="D47" s="4" t="s">
        <v>228</v>
      </c>
      <c r="E47" s="4"/>
      <c r="F47" s="4" t="s">
        <v>1497</v>
      </c>
      <c r="G47" s="4"/>
      <c r="H47" s="4"/>
      <c r="I47" s="4"/>
      <c r="J47" s="4"/>
      <c r="K47" s="4"/>
      <c r="L47" s="4"/>
      <c r="M47" s="4"/>
      <c r="N47" s="4"/>
      <c r="O47" s="4" t="s">
        <v>52</v>
      </c>
      <c r="P47" s="4" t="s">
        <v>52</v>
      </c>
      <c r="Q47" s="4" t="s">
        <v>52</v>
      </c>
      <c r="R47" s="4" t="s">
        <v>1498</v>
      </c>
      <c r="S47" s="4" t="s">
        <v>1499</v>
      </c>
      <c r="T47" s="4" t="s">
        <v>1148</v>
      </c>
      <c r="U47" s="4"/>
      <c r="V47" s="4"/>
      <c r="W47" s="4"/>
      <c r="X47" s="4" t="s">
        <v>1500</v>
      </c>
      <c r="Y47" s="4"/>
      <c r="Z47" s="4"/>
      <c r="AA47" s="4" t="s">
        <v>1501</v>
      </c>
      <c r="AB47" s="4"/>
      <c r="AC47" s="4"/>
      <c r="AD47" s="4"/>
      <c r="AE47" s="4"/>
      <c r="AF47" s="4"/>
      <c r="AG47" s="4" t="s">
        <v>79</v>
      </c>
      <c r="AH47" s="4"/>
      <c r="AI47" s="4"/>
      <c r="AJ47" s="4"/>
      <c r="AK47" s="4"/>
      <c r="AL47" s="4" t="s">
        <v>1502</v>
      </c>
      <c r="AM47" s="4"/>
      <c r="AN47" s="4" t="s">
        <v>1291</v>
      </c>
      <c r="AO47" s="4"/>
      <c r="AP47" s="4" t="s">
        <v>68</v>
      </c>
      <c r="AQ47" s="4"/>
      <c r="AS47" s="4" t="s">
        <v>52</v>
      </c>
      <c r="AT47" s="4" t="s">
        <v>52</v>
      </c>
      <c r="AU47" s="4" t="s">
        <v>52</v>
      </c>
      <c r="AV47" s="4" t="s">
        <v>94</v>
      </c>
      <c r="AW47" s="4" t="s">
        <v>391</v>
      </c>
    </row>
    <row r="48" spans="1:49" x14ac:dyDescent="0.3">
      <c r="A48" s="4" t="s">
        <v>436</v>
      </c>
      <c r="B48" s="4" t="s">
        <v>59</v>
      </c>
      <c r="C48" s="4"/>
      <c r="D48" s="4" t="s">
        <v>439</v>
      </c>
      <c r="E48" s="4"/>
      <c r="F48" s="4" t="s">
        <v>1503</v>
      </c>
      <c r="G48" s="4"/>
      <c r="H48" s="4"/>
      <c r="I48" s="4" t="s">
        <v>410</v>
      </c>
      <c r="J48" s="4"/>
      <c r="K48" s="4" t="s">
        <v>1504</v>
      </c>
      <c r="L48" s="4"/>
      <c r="M48" s="4"/>
      <c r="N48" s="4"/>
      <c r="O48" s="4" t="s">
        <v>52</v>
      </c>
      <c r="P48" s="4" t="s">
        <v>52</v>
      </c>
      <c r="Q48" s="4" t="s">
        <v>52</v>
      </c>
      <c r="R48" s="4" t="s">
        <v>1505</v>
      </c>
      <c r="S48" s="4" t="s">
        <v>1506</v>
      </c>
      <c r="T48" s="4" t="s">
        <v>49</v>
      </c>
      <c r="U48" s="4"/>
      <c r="V48" s="4"/>
      <c r="W48" s="4"/>
      <c r="X48" s="4" t="s">
        <v>837</v>
      </c>
      <c r="Y48" s="4"/>
      <c r="Z48" s="4"/>
      <c r="AA48" s="4" t="s">
        <v>1507</v>
      </c>
      <c r="AB48" s="4"/>
      <c r="AC48" s="4"/>
      <c r="AD48" s="4"/>
      <c r="AE48" s="4"/>
      <c r="AF48" s="4"/>
      <c r="AG48" s="4" t="s">
        <v>108</v>
      </c>
      <c r="AH48" s="4"/>
      <c r="AI48" s="4"/>
      <c r="AJ48" s="4"/>
      <c r="AK48" s="4"/>
      <c r="AL48" s="4" t="s">
        <v>1508</v>
      </c>
      <c r="AM48" s="4"/>
      <c r="AN48" s="4" t="s">
        <v>1509</v>
      </c>
      <c r="AO48" s="4"/>
      <c r="AP48" s="4" t="s">
        <v>1510</v>
      </c>
      <c r="AQ48" s="4"/>
      <c r="AS48" s="4" t="s">
        <v>52</v>
      </c>
      <c r="AT48" s="4" t="s">
        <v>52</v>
      </c>
      <c r="AU48" s="4" t="s">
        <v>52</v>
      </c>
      <c r="AV48" s="4" t="s">
        <v>108</v>
      </c>
      <c r="AW48" s="4" t="s">
        <v>206</v>
      </c>
    </row>
    <row r="49" spans="1:49" x14ac:dyDescent="0.3">
      <c r="A49" s="4" t="s">
        <v>442</v>
      </c>
      <c r="B49" s="4" t="s">
        <v>52</v>
      </c>
      <c r="C49" s="4"/>
      <c r="D49" s="4" t="s">
        <v>52</v>
      </c>
      <c r="E49" s="4"/>
      <c r="F49" s="4" t="s">
        <v>1511</v>
      </c>
      <c r="G49" s="4"/>
      <c r="H49" s="4"/>
      <c r="I49" s="4" t="s">
        <v>1348</v>
      </c>
      <c r="J49" s="4"/>
      <c r="K49" s="4" t="s">
        <v>1512</v>
      </c>
      <c r="L49" s="4"/>
      <c r="M49" s="4"/>
      <c r="N49" s="4"/>
      <c r="O49" s="4" t="s">
        <v>52</v>
      </c>
      <c r="P49" s="4" t="s">
        <v>52</v>
      </c>
      <c r="Q49" s="4" t="s">
        <v>52</v>
      </c>
      <c r="R49" s="4" t="s">
        <v>1513</v>
      </c>
      <c r="S49" s="4" t="s">
        <v>1514</v>
      </c>
      <c r="T49" s="4" t="s">
        <v>879</v>
      </c>
      <c r="U49" s="4"/>
      <c r="V49" s="4"/>
      <c r="W49" s="4"/>
      <c r="X49" s="4" t="s">
        <v>1515</v>
      </c>
      <c r="Y49" s="4"/>
      <c r="Z49" s="4"/>
      <c r="AA49" s="4" t="s">
        <v>1516</v>
      </c>
      <c r="AB49" s="4"/>
      <c r="AC49" s="4"/>
      <c r="AD49" s="4"/>
      <c r="AE49" s="4"/>
      <c r="AF49" s="4"/>
      <c r="AG49" s="4" t="s">
        <v>724</v>
      </c>
      <c r="AH49" s="4"/>
      <c r="AI49" s="4"/>
      <c r="AJ49" s="4"/>
      <c r="AK49" s="4"/>
      <c r="AL49" s="4" t="s">
        <v>1517</v>
      </c>
      <c r="AM49" s="4"/>
      <c r="AN49" s="4" t="s">
        <v>1313</v>
      </c>
      <c r="AO49" s="4"/>
      <c r="AP49" s="4" t="s">
        <v>1346</v>
      </c>
      <c r="AQ49" s="4"/>
      <c r="AS49" s="4" t="s">
        <v>52</v>
      </c>
      <c r="AT49" s="4" t="s">
        <v>52</v>
      </c>
      <c r="AU49" s="4" t="s">
        <v>52</v>
      </c>
      <c r="AV49" s="4" t="s">
        <v>117</v>
      </c>
      <c r="AW49" s="4" t="s">
        <v>374</v>
      </c>
    </row>
    <row r="50" spans="1:49" x14ac:dyDescent="0.3">
      <c r="A50" s="4" t="s">
        <v>448</v>
      </c>
      <c r="B50" s="4" t="s">
        <v>49</v>
      </c>
      <c r="C50" s="4"/>
      <c r="D50" s="4" t="s">
        <v>298</v>
      </c>
      <c r="E50" s="4"/>
      <c r="F50" s="4" t="s">
        <v>1518</v>
      </c>
      <c r="G50" s="4"/>
      <c r="H50" s="4"/>
      <c r="I50" s="4" t="s">
        <v>307</v>
      </c>
      <c r="J50" s="4"/>
      <c r="K50" s="4" t="s">
        <v>473</v>
      </c>
      <c r="L50" s="4"/>
      <c r="M50" s="4"/>
      <c r="N50" s="4"/>
      <c r="O50" s="4" t="s">
        <v>52</v>
      </c>
      <c r="P50" s="4" t="s">
        <v>52</v>
      </c>
      <c r="Q50" s="4" t="s">
        <v>52</v>
      </c>
      <c r="R50" s="4" t="s">
        <v>1519</v>
      </c>
      <c r="S50" s="4" t="s">
        <v>1520</v>
      </c>
      <c r="T50" s="4" t="s">
        <v>1521</v>
      </c>
      <c r="U50" s="4"/>
      <c r="V50" s="4"/>
      <c r="W50" s="4"/>
      <c r="X50" s="4" t="s">
        <v>1522</v>
      </c>
      <c r="Y50" s="4"/>
      <c r="Z50" s="4"/>
      <c r="AA50" s="4" t="s">
        <v>1523</v>
      </c>
      <c r="AB50" s="4"/>
      <c r="AC50" s="4"/>
      <c r="AD50" s="4"/>
      <c r="AE50" s="4"/>
      <c r="AF50" s="4"/>
      <c r="AG50" s="4" t="s">
        <v>110</v>
      </c>
      <c r="AH50" s="4"/>
      <c r="AI50" s="4"/>
      <c r="AJ50" s="4"/>
      <c r="AK50" s="4"/>
      <c r="AL50" s="4" t="s">
        <v>1524</v>
      </c>
      <c r="AM50" s="4"/>
      <c r="AN50" s="4" t="s">
        <v>1525</v>
      </c>
      <c r="AO50" s="4"/>
      <c r="AP50" s="4" t="s">
        <v>1462</v>
      </c>
      <c r="AQ50" s="4"/>
      <c r="AS50" s="4" t="s">
        <v>52</v>
      </c>
      <c r="AT50" s="4" t="s">
        <v>52</v>
      </c>
      <c r="AU50" s="4" t="s">
        <v>52</v>
      </c>
      <c r="AV50" s="4" t="s">
        <v>249</v>
      </c>
      <c r="AW50" s="4" t="s">
        <v>439</v>
      </c>
    </row>
    <row r="51" spans="1:49" x14ac:dyDescent="0.3">
      <c r="A51" s="4" t="s">
        <v>455</v>
      </c>
      <c r="B51" s="4" t="s">
        <v>284</v>
      </c>
      <c r="C51" s="4"/>
      <c r="D51" s="4" t="s">
        <v>136</v>
      </c>
      <c r="E51" s="4"/>
      <c r="F51" s="4" t="s">
        <v>1526</v>
      </c>
      <c r="G51" s="4"/>
      <c r="H51" s="4"/>
      <c r="I51" s="4" t="s">
        <v>307</v>
      </c>
      <c r="J51" s="4"/>
      <c r="K51" s="4" t="s">
        <v>1527</v>
      </c>
      <c r="L51" s="4"/>
      <c r="M51" s="4"/>
      <c r="N51" s="4"/>
      <c r="O51" s="4" t="s">
        <v>52</v>
      </c>
      <c r="P51" s="4" t="s">
        <v>52</v>
      </c>
      <c r="Q51" s="4" t="s">
        <v>52</v>
      </c>
      <c r="R51" s="4" t="s">
        <v>1528</v>
      </c>
      <c r="S51" s="4" t="s">
        <v>1529</v>
      </c>
      <c r="T51" s="4" t="s">
        <v>108</v>
      </c>
      <c r="U51" s="4"/>
      <c r="V51" s="4"/>
      <c r="W51" s="4"/>
      <c r="X51" s="4" t="s">
        <v>1530</v>
      </c>
      <c r="Y51" s="4"/>
      <c r="Z51" s="4"/>
      <c r="AA51" s="4" t="s">
        <v>1531</v>
      </c>
      <c r="AB51" s="4"/>
      <c r="AC51" s="4"/>
      <c r="AD51" s="4"/>
      <c r="AE51" s="4"/>
      <c r="AF51" s="4"/>
      <c r="AG51" s="4" t="s">
        <v>70</v>
      </c>
      <c r="AH51" s="4"/>
      <c r="AI51" s="4"/>
      <c r="AJ51" s="4"/>
      <c r="AK51" s="4"/>
      <c r="AL51" s="4" t="s">
        <v>1532</v>
      </c>
      <c r="AM51" s="4"/>
      <c r="AN51" s="4" t="s">
        <v>1328</v>
      </c>
      <c r="AO51" s="4"/>
      <c r="AP51" s="4" t="s">
        <v>1533</v>
      </c>
      <c r="AQ51" s="4"/>
      <c r="AS51" s="4" t="s">
        <v>52</v>
      </c>
      <c r="AT51" s="4" t="s">
        <v>52</v>
      </c>
      <c r="AU51" s="4" t="s">
        <v>52</v>
      </c>
      <c r="AV51" s="4" t="s">
        <v>263</v>
      </c>
      <c r="AW51" s="4" t="s">
        <v>391</v>
      </c>
    </row>
    <row r="52" spans="1:49" x14ac:dyDescent="0.3">
      <c r="A52" s="4" t="s">
        <v>464</v>
      </c>
      <c r="B52" s="4" t="s">
        <v>167</v>
      </c>
      <c r="C52" s="4"/>
      <c r="D52" s="4" t="s">
        <v>284</v>
      </c>
      <c r="E52" s="4"/>
      <c r="F52" s="4" t="s">
        <v>1534</v>
      </c>
      <c r="G52" s="4"/>
      <c r="H52" s="4"/>
      <c r="I52" s="4" t="s">
        <v>206</v>
      </c>
      <c r="J52" s="4"/>
      <c r="K52" s="4" t="s">
        <v>955</v>
      </c>
      <c r="L52" s="4"/>
      <c r="M52" s="4"/>
      <c r="N52" s="4"/>
      <c r="O52" s="4" t="s">
        <v>52</v>
      </c>
      <c r="P52" s="4" t="s">
        <v>52</v>
      </c>
      <c r="Q52" s="4" t="s">
        <v>52</v>
      </c>
      <c r="R52" s="4" t="s">
        <v>1535</v>
      </c>
      <c r="S52" s="4" t="s">
        <v>1536</v>
      </c>
      <c r="T52" s="4" t="s">
        <v>71</v>
      </c>
      <c r="U52" s="4"/>
      <c r="V52" s="4"/>
      <c r="W52" s="4"/>
      <c r="X52" s="4" t="s">
        <v>1537</v>
      </c>
      <c r="Y52" s="4"/>
      <c r="Z52" s="4"/>
      <c r="AA52" s="4" t="s">
        <v>1538</v>
      </c>
      <c r="AB52" s="4"/>
      <c r="AC52" s="4"/>
      <c r="AD52" s="4"/>
      <c r="AE52" s="4"/>
      <c r="AF52" s="4"/>
      <c r="AG52" s="4" t="s">
        <v>79</v>
      </c>
      <c r="AH52" s="4"/>
      <c r="AI52" s="4"/>
      <c r="AJ52" s="4"/>
      <c r="AK52" s="4"/>
      <c r="AL52" s="4" t="s">
        <v>1539</v>
      </c>
      <c r="AM52" s="4"/>
      <c r="AN52" s="4" t="s">
        <v>804</v>
      </c>
      <c r="AO52" s="4"/>
      <c r="AP52" s="4" t="s">
        <v>795</v>
      </c>
      <c r="AQ52" s="4"/>
      <c r="AS52" s="4" t="s">
        <v>52</v>
      </c>
      <c r="AT52" s="4" t="s">
        <v>52</v>
      </c>
      <c r="AU52" s="4" t="s">
        <v>52</v>
      </c>
      <c r="AV52" s="4" t="s">
        <v>108</v>
      </c>
      <c r="AW52" s="4" t="s">
        <v>206</v>
      </c>
    </row>
    <row r="53" spans="1:49" x14ac:dyDescent="0.3">
      <c r="A53" s="4" t="s">
        <v>469</v>
      </c>
      <c r="B53" s="4" t="s">
        <v>50</v>
      </c>
      <c r="C53" s="4"/>
      <c r="D53" s="4" t="s">
        <v>167</v>
      </c>
      <c r="E53" s="4"/>
      <c r="F53" s="4" t="s">
        <v>1540</v>
      </c>
      <c r="G53" s="4"/>
      <c r="H53" s="4"/>
      <c r="I53" s="4"/>
      <c r="J53" s="4"/>
      <c r="K53" s="4"/>
      <c r="L53" s="4"/>
      <c r="M53" s="4"/>
      <c r="N53" s="4"/>
      <c r="O53" s="4" t="s">
        <v>52</v>
      </c>
      <c r="P53" s="4" t="s">
        <v>52</v>
      </c>
      <c r="Q53" s="4" t="s">
        <v>52</v>
      </c>
      <c r="R53" s="4" t="s">
        <v>1541</v>
      </c>
      <c r="S53" s="4" t="s">
        <v>1542</v>
      </c>
      <c r="T53" s="4" t="s">
        <v>123</v>
      </c>
      <c r="U53" s="4"/>
      <c r="V53" s="4"/>
      <c r="W53" s="4"/>
      <c r="X53" s="4" t="s">
        <v>1543</v>
      </c>
      <c r="Y53" s="4"/>
      <c r="Z53" s="4"/>
      <c r="AA53" s="4" t="s">
        <v>1544</v>
      </c>
      <c r="AB53" s="4"/>
      <c r="AC53" s="4"/>
      <c r="AD53" s="4"/>
      <c r="AE53" s="4"/>
      <c r="AF53" s="4"/>
      <c r="AG53" s="4" t="s">
        <v>245</v>
      </c>
      <c r="AH53" s="4"/>
      <c r="AI53" s="4"/>
      <c r="AJ53" s="4"/>
      <c r="AK53" s="4"/>
      <c r="AL53" s="4" t="s">
        <v>1545</v>
      </c>
      <c r="AM53" s="4"/>
      <c r="AN53" s="4" t="s">
        <v>260</v>
      </c>
      <c r="AO53" s="4"/>
      <c r="AP53" s="4" t="s">
        <v>1546</v>
      </c>
      <c r="AQ53" s="4"/>
      <c r="AS53" s="4" t="s">
        <v>52</v>
      </c>
      <c r="AT53" s="4" t="s">
        <v>52</v>
      </c>
      <c r="AU53" s="4" t="s">
        <v>52</v>
      </c>
      <c r="AV53" s="4" t="s">
        <v>70</v>
      </c>
      <c r="AW53" s="4" t="s">
        <v>439</v>
      </c>
    </row>
    <row r="54" spans="1:49" x14ac:dyDescent="0.3">
      <c r="A54" s="4" t="s">
        <v>474</v>
      </c>
      <c r="B54" s="4" t="s">
        <v>930</v>
      </c>
      <c r="C54" s="4"/>
      <c r="D54" s="4" t="s">
        <v>403</v>
      </c>
      <c r="E54" s="4"/>
      <c r="F54" s="4" t="s">
        <v>1547</v>
      </c>
      <c r="G54" s="4"/>
      <c r="H54" s="4"/>
      <c r="I54" s="4"/>
      <c r="J54" s="4"/>
      <c r="K54" s="4"/>
      <c r="L54" s="4"/>
      <c r="M54" s="4"/>
      <c r="N54" s="4"/>
      <c r="O54" s="4" t="s">
        <v>52</v>
      </c>
      <c r="P54" s="4" t="s">
        <v>52</v>
      </c>
      <c r="Q54" s="4" t="s">
        <v>52</v>
      </c>
      <c r="R54" s="4" t="s">
        <v>1548</v>
      </c>
      <c r="S54" s="4" t="s">
        <v>1549</v>
      </c>
      <c r="T54" s="4"/>
      <c r="U54" s="4"/>
      <c r="V54" s="4" t="s">
        <v>756</v>
      </c>
      <c r="W54" s="4"/>
      <c r="X54" s="4"/>
      <c r="Y54" s="4"/>
      <c r="Z54" s="4" t="s">
        <v>1550</v>
      </c>
      <c r="AA54" s="4"/>
      <c r="AB54" s="4"/>
      <c r="AC54" s="4"/>
      <c r="AD54" s="4" t="s">
        <v>850</v>
      </c>
      <c r="AE54" s="4"/>
      <c r="AF54" s="4" t="s">
        <v>724</v>
      </c>
      <c r="AG54" s="4"/>
      <c r="AH54" s="4"/>
      <c r="AI54" s="4"/>
      <c r="AJ54" s="4"/>
      <c r="AK54" s="4"/>
      <c r="AL54" s="4" t="s">
        <v>1551</v>
      </c>
      <c r="AM54" s="4"/>
      <c r="AN54" s="4" t="s">
        <v>1552</v>
      </c>
      <c r="AO54" s="4"/>
      <c r="AP54" s="4" t="s">
        <v>1553</v>
      </c>
      <c r="AQ54" s="4"/>
      <c r="AS54" s="4" t="s">
        <v>52</v>
      </c>
      <c r="AT54" s="4" t="s">
        <v>52</v>
      </c>
      <c r="AU54" s="4" t="s">
        <v>52</v>
      </c>
      <c r="AV54" s="4" t="s">
        <v>228</v>
      </c>
      <c r="AW54" s="4" t="s">
        <v>263</v>
      </c>
    </row>
    <row r="55" spans="1:49" x14ac:dyDescent="0.3">
      <c r="A55" s="4" t="s">
        <v>480</v>
      </c>
      <c r="B55" s="4" t="s">
        <v>1554</v>
      </c>
      <c r="C55" s="4"/>
      <c r="D55" s="4" t="s">
        <v>96</v>
      </c>
      <c r="E55" s="4"/>
      <c r="F55" s="4" t="s">
        <v>1555</v>
      </c>
      <c r="G55" s="4"/>
      <c r="H55" s="4"/>
      <c r="I55" s="4"/>
      <c r="J55" s="4"/>
      <c r="K55" s="4"/>
      <c r="L55" s="4"/>
      <c r="M55" s="4"/>
      <c r="N55" s="4"/>
      <c r="O55" s="4" t="s">
        <v>52</v>
      </c>
      <c r="P55" s="4" t="s">
        <v>52</v>
      </c>
      <c r="Q55" s="4" t="s">
        <v>52</v>
      </c>
      <c r="R55" s="4" t="s">
        <v>1556</v>
      </c>
      <c r="S55" s="4" t="s">
        <v>1557</v>
      </c>
      <c r="T55" s="4"/>
      <c r="U55" s="4"/>
      <c r="V55" s="4" t="s">
        <v>1016</v>
      </c>
      <c r="W55" s="4"/>
      <c r="X55" s="4"/>
      <c r="Y55" s="4"/>
      <c r="Z55" s="4" t="s">
        <v>1558</v>
      </c>
      <c r="AA55" s="4"/>
      <c r="AB55" s="4"/>
      <c r="AC55" s="4"/>
      <c r="AD55" s="4" t="s">
        <v>1559</v>
      </c>
      <c r="AE55" s="4"/>
      <c r="AF55" s="4" t="s">
        <v>167</v>
      </c>
      <c r="AG55" s="4"/>
      <c r="AH55" s="4"/>
      <c r="AI55" s="4"/>
      <c r="AJ55" s="4"/>
      <c r="AK55" s="4"/>
      <c r="AL55" s="4" t="s">
        <v>1560</v>
      </c>
      <c r="AM55" s="4"/>
      <c r="AN55" s="4" t="s">
        <v>338</v>
      </c>
      <c r="AO55" s="4"/>
      <c r="AP55" s="4" t="s">
        <v>493</v>
      </c>
      <c r="AQ55" s="4"/>
      <c r="AS55" s="4" t="s">
        <v>52</v>
      </c>
      <c r="AT55" s="4" t="s">
        <v>52</v>
      </c>
      <c r="AU55" s="4" t="s">
        <v>52</v>
      </c>
      <c r="AV55" s="4" t="s">
        <v>249</v>
      </c>
      <c r="AW55" s="4" t="s">
        <v>263</v>
      </c>
    </row>
    <row r="56" spans="1:49" x14ac:dyDescent="0.3">
      <c r="A56" s="4" t="s">
        <v>490</v>
      </c>
      <c r="B56" s="4" t="s">
        <v>566</v>
      </c>
      <c r="C56" s="4"/>
      <c r="D56" s="4" t="s">
        <v>49</v>
      </c>
      <c r="E56" s="4"/>
      <c r="F56" s="4" t="s">
        <v>1561</v>
      </c>
      <c r="G56" s="4"/>
      <c r="H56" s="4"/>
      <c r="I56" s="4"/>
      <c r="J56" s="4"/>
      <c r="K56" s="4"/>
      <c r="L56" s="4"/>
      <c r="M56" s="4"/>
      <c r="N56" s="4"/>
      <c r="O56" s="4" t="s">
        <v>52</v>
      </c>
      <c r="P56" s="4" t="s">
        <v>52</v>
      </c>
      <c r="Q56" s="4" t="s">
        <v>52</v>
      </c>
      <c r="R56" s="4" t="s">
        <v>1562</v>
      </c>
      <c r="S56" s="4" t="s">
        <v>1563</v>
      </c>
      <c r="T56" s="4"/>
      <c r="U56" s="4"/>
      <c r="V56" s="4" t="s">
        <v>74</v>
      </c>
      <c r="W56" s="4"/>
      <c r="X56" s="4"/>
      <c r="Y56" s="4"/>
      <c r="Z56" s="4" t="s">
        <v>862</v>
      </c>
      <c r="AA56" s="4"/>
      <c r="AB56" s="4"/>
      <c r="AC56" s="4"/>
      <c r="AD56" s="4" t="s">
        <v>1564</v>
      </c>
      <c r="AE56" s="4"/>
      <c r="AF56" s="4" t="s">
        <v>707</v>
      </c>
      <c r="AG56" s="4"/>
      <c r="AH56" s="4"/>
      <c r="AI56" s="4"/>
      <c r="AJ56" s="4"/>
      <c r="AK56" s="4"/>
      <c r="AL56" s="4" t="s">
        <v>1565</v>
      </c>
      <c r="AM56" s="4"/>
      <c r="AN56" s="4" t="s">
        <v>745</v>
      </c>
      <c r="AO56" s="4"/>
      <c r="AP56" s="4" t="s">
        <v>164</v>
      </c>
      <c r="AQ56" s="4"/>
      <c r="AS56" s="4"/>
      <c r="AT56" s="4"/>
      <c r="AU56" s="4"/>
      <c r="AV56" s="4" t="s">
        <v>133</v>
      </c>
      <c r="AW56" s="4" t="s">
        <v>66</v>
      </c>
    </row>
    <row r="57" spans="1:49" x14ac:dyDescent="0.3">
      <c r="A57" s="4" t="s">
        <v>495</v>
      </c>
      <c r="B57" s="4" t="s">
        <v>1566</v>
      </c>
      <c r="C57" s="4"/>
      <c r="D57" s="4" t="s">
        <v>386</v>
      </c>
      <c r="E57" s="4"/>
      <c r="F57" s="4" t="s">
        <v>1567</v>
      </c>
      <c r="G57" s="4"/>
      <c r="H57" s="4"/>
      <c r="I57" s="4"/>
      <c r="J57" s="4"/>
      <c r="K57" s="4"/>
      <c r="L57" s="4"/>
      <c r="M57" s="4"/>
      <c r="N57" s="4"/>
      <c r="O57" s="4" t="s">
        <v>52</v>
      </c>
      <c r="P57" s="4" t="s">
        <v>52</v>
      </c>
      <c r="Q57" s="4" t="s">
        <v>52</v>
      </c>
      <c r="R57" s="4" t="s">
        <v>1568</v>
      </c>
      <c r="S57" s="4" t="s">
        <v>1569</v>
      </c>
      <c r="T57" s="4"/>
      <c r="U57" s="4"/>
      <c r="V57" s="4" t="s">
        <v>400</v>
      </c>
      <c r="W57" s="4"/>
      <c r="X57" s="4"/>
      <c r="Y57" s="4"/>
      <c r="Z57" s="4" t="s">
        <v>1570</v>
      </c>
      <c r="AA57" s="4"/>
      <c r="AB57" s="4"/>
      <c r="AC57" s="4"/>
      <c r="AD57" s="4" t="s">
        <v>1571</v>
      </c>
      <c r="AE57" s="4"/>
      <c r="AF57" s="4" t="s">
        <v>388</v>
      </c>
      <c r="AG57" s="4"/>
      <c r="AH57" s="4"/>
      <c r="AI57" s="4"/>
      <c r="AJ57" s="4"/>
      <c r="AK57" s="4"/>
      <c r="AL57" s="4" t="s">
        <v>1572</v>
      </c>
      <c r="AM57" s="4"/>
      <c r="AN57" s="4" t="s">
        <v>879</v>
      </c>
      <c r="AO57" s="4"/>
      <c r="AP57" s="4" t="s">
        <v>417</v>
      </c>
      <c r="AQ57" s="4"/>
      <c r="AS57" s="4"/>
      <c r="AT57" s="4"/>
      <c r="AU57" s="4"/>
      <c r="AV57" s="4" t="s">
        <v>70</v>
      </c>
      <c r="AW57" s="4" t="s">
        <v>66</v>
      </c>
    </row>
    <row r="58" spans="1:49" x14ac:dyDescent="0.3">
      <c r="A58" s="4" t="s">
        <v>503</v>
      </c>
      <c r="B58" s="4" t="s">
        <v>531</v>
      </c>
      <c r="C58" s="4"/>
      <c r="D58" s="4" t="s">
        <v>570</v>
      </c>
      <c r="E58" s="4"/>
      <c r="F58" s="4" t="s">
        <v>646</v>
      </c>
      <c r="G58" s="4"/>
      <c r="H58" s="4"/>
      <c r="I58" s="4"/>
      <c r="J58" s="4"/>
      <c r="K58" s="4"/>
      <c r="L58" s="4"/>
      <c r="M58" s="4"/>
      <c r="N58" s="4"/>
      <c r="O58" s="4" t="s">
        <v>52</v>
      </c>
      <c r="P58" s="4" t="s">
        <v>52</v>
      </c>
      <c r="Q58" s="4" t="s">
        <v>52</v>
      </c>
      <c r="R58" s="4" t="s">
        <v>167</v>
      </c>
      <c r="S58" s="4" t="s">
        <v>1406</v>
      </c>
      <c r="T58" s="4"/>
      <c r="U58" s="4"/>
      <c r="V58" s="4" t="s">
        <v>1573</v>
      </c>
      <c r="W58" s="4"/>
      <c r="X58" s="4"/>
      <c r="Y58" s="4"/>
      <c r="Z58" s="4" t="s">
        <v>1574</v>
      </c>
      <c r="AA58" s="4"/>
      <c r="AB58" s="4"/>
      <c r="AC58" s="4"/>
      <c r="AD58" s="4" t="s">
        <v>1575</v>
      </c>
      <c r="AE58" s="4"/>
      <c r="AF58" s="4" t="s">
        <v>133</v>
      </c>
      <c r="AG58" s="4"/>
      <c r="AH58" s="4"/>
      <c r="AI58" s="4"/>
      <c r="AJ58" s="4"/>
      <c r="AK58" s="4"/>
      <c r="AL58" s="4" t="s">
        <v>1576</v>
      </c>
      <c r="AM58" s="4"/>
      <c r="AN58" s="4" t="s">
        <v>513</v>
      </c>
      <c r="AO58" s="4"/>
      <c r="AP58" s="4" t="s">
        <v>1403</v>
      </c>
      <c r="AQ58" s="4"/>
      <c r="AS58" s="4"/>
      <c r="AT58" s="4"/>
      <c r="AU58" s="4"/>
      <c r="AV58" s="4" t="s">
        <v>249</v>
      </c>
      <c r="AW58" s="4" t="s">
        <v>439</v>
      </c>
    </row>
    <row r="59" spans="1:49" x14ac:dyDescent="0.3">
      <c r="A59" s="4" t="s">
        <v>510</v>
      </c>
      <c r="B59" s="4" t="s">
        <v>1577</v>
      </c>
      <c r="C59" s="4"/>
      <c r="D59" s="4" t="s">
        <v>274</v>
      </c>
      <c r="E59" s="4"/>
      <c r="F59" s="4" t="s">
        <v>1578</v>
      </c>
      <c r="G59" s="4"/>
      <c r="H59" s="4"/>
      <c r="I59" s="4"/>
      <c r="J59" s="4"/>
      <c r="K59" s="4"/>
      <c r="L59" s="4"/>
      <c r="M59" s="4"/>
      <c r="N59" s="4"/>
      <c r="O59" s="4" t="s">
        <v>52</v>
      </c>
      <c r="P59" s="4" t="s">
        <v>52</v>
      </c>
      <c r="Q59" s="4" t="s">
        <v>52</v>
      </c>
      <c r="R59" s="4" t="s">
        <v>1579</v>
      </c>
      <c r="S59" s="4" t="s">
        <v>1580</v>
      </c>
      <c r="T59" s="4" t="s">
        <v>460</v>
      </c>
      <c r="U59" s="4"/>
      <c r="V59" s="4"/>
      <c r="W59" s="4"/>
      <c r="X59" s="4" t="s">
        <v>1581</v>
      </c>
      <c r="Y59" s="4"/>
      <c r="Z59" s="4"/>
      <c r="AA59" s="4" t="s">
        <v>1582</v>
      </c>
      <c r="AB59" s="4"/>
      <c r="AC59" s="4"/>
      <c r="AD59" s="4"/>
      <c r="AE59" s="4"/>
      <c r="AF59" s="4"/>
      <c r="AG59" s="4" t="s">
        <v>284</v>
      </c>
      <c r="AH59" s="4"/>
      <c r="AI59" s="4"/>
      <c r="AJ59" s="4"/>
      <c r="AK59" s="4"/>
      <c r="AL59" s="4" t="s">
        <v>1583</v>
      </c>
      <c r="AM59" s="4"/>
      <c r="AN59" s="4" t="s">
        <v>1584</v>
      </c>
      <c r="AO59" s="4"/>
      <c r="AP59" s="4" t="s">
        <v>1022</v>
      </c>
      <c r="AQ59" s="4"/>
      <c r="AS59" s="4"/>
      <c r="AT59" s="4"/>
      <c r="AU59" s="4"/>
      <c r="AV59" s="4" t="s">
        <v>56</v>
      </c>
      <c r="AW59" s="4" t="s">
        <v>263</v>
      </c>
    </row>
    <row r="60" spans="1:49" x14ac:dyDescent="0.3">
      <c r="A60" s="4" t="s">
        <v>515</v>
      </c>
      <c r="B60" s="4" t="s">
        <v>403</v>
      </c>
      <c r="C60" s="4"/>
      <c r="D60" s="4" t="s">
        <v>245</v>
      </c>
      <c r="E60" s="4"/>
      <c r="F60" s="4" t="s">
        <v>1585</v>
      </c>
      <c r="G60" s="4"/>
      <c r="H60" s="4"/>
      <c r="I60" s="4" t="s">
        <v>445</v>
      </c>
      <c r="J60" s="4"/>
      <c r="K60" s="4" t="s">
        <v>443</v>
      </c>
      <c r="L60" s="4"/>
      <c r="M60" s="4"/>
      <c r="N60" s="4"/>
      <c r="O60" s="4" t="s">
        <v>52</v>
      </c>
      <c r="P60" s="4" t="s">
        <v>52</v>
      </c>
      <c r="Q60" s="4" t="s">
        <v>52</v>
      </c>
      <c r="R60" s="4" t="s">
        <v>1586</v>
      </c>
      <c r="S60" s="4" t="s">
        <v>1587</v>
      </c>
      <c r="T60" s="4" t="s">
        <v>167</v>
      </c>
      <c r="U60" s="4"/>
      <c r="V60" s="4"/>
      <c r="W60" s="4"/>
      <c r="X60" s="4" t="s">
        <v>1588</v>
      </c>
      <c r="Y60" s="4"/>
      <c r="Z60" s="4"/>
      <c r="AA60" s="4" t="s">
        <v>1589</v>
      </c>
      <c r="AB60" s="4"/>
      <c r="AC60" s="4"/>
      <c r="AD60" s="4"/>
      <c r="AE60" s="4"/>
      <c r="AF60" s="4"/>
      <c r="AG60" s="4" t="s">
        <v>511</v>
      </c>
      <c r="AH60" s="4"/>
      <c r="AI60" s="4"/>
      <c r="AJ60" s="4"/>
      <c r="AK60" s="4"/>
      <c r="AL60" s="4" t="s">
        <v>1590</v>
      </c>
      <c r="AM60" s="4"/>
      <c r="AN60" s="4" t="s">
        <v>1335</v>
      </c>
      <c r="AO60" s="4"/>
      <c r="AP60" s="4" t="s">
        <v>513</v>
      </c>
      <c r="AQ60" s="4"/>
      <c r="AS60" s="4"/>
      <c r="AT60" s="4"/>
      <c r="AU60" s="4"/>
      <c r="AV60" s="4" t="s">
        <v>56</v>
      </c>
      <c r="AW60" s="4" t="s">
        <v>263</v>
      </c>
    </row>
    <row r="61" spans="1:49" x14ac:dyDescent="0.3">
      <c r="A61" s="4" t="s">
        <v>523</v>
      </c>
      <c r="B61" s="4" t="s">
        <v>177</v>
      </c>
      <c r="C61" s="4"/>
      <c r="D61" s="4" t="s">
        <v>63</v>
      </c>
      <c r="E61" s="4"/>
      <c r="F61" s="4" t="s">
        <v>1591</v>
      </c>
      <c r="G61" s="4"/>
      <c r="H61" s="4"/>
      <c r="I61" s="4" t="s">
        <v>756</v>
      </c>
      <c r="J61" s="4"/>
      <c r="K61" s="4" t="s">
        <v>756</v>
      </c>
      <c r="L61" s="4"/>
      <c r="M61" s="4"/>
      <c r="N61" s="4"/>
      <c r="O61" s="4" t="s">
        <v>52</v>
      </c>
      <c r="P61" s="4" t="s">
        <v>52</v>
      </c>
      <c r="Q61" s="4" t="s">
        <v>52</v>
      </c>
      <c r="R61" s="4" t="s">
        <v>1592</v>
      </c>
      <c r="S61" s="4" t="s">
        <v>1593</v>
      </c>
      <c r="T61" s="4" t="s">
        <v>194</v>
      </c>
      <c r="U61" s="4"/>
      <c r="V61" s="4"/>
      <c r="W61" s="4"/>
      <c r="X61" s="4" t="s">
        <v>1594</v>
      </c>
      <c r="Y61" s="4"/>
      <c r="Z61" s="4"/>
      <c r="AA61" s="4" t="s">
        <v>1595</v>
      </c>
      <c r="AB61" s="4"/>
      <c r="AC61" s="4"/>
      <c r="AD61" s="4"/>
      <c r="AE61" s="4"/>
      <c r="AF61" s="4"/>
      <c r="AG61" s="4" t="s">
        <v>249</v>
      </c>
      <c r="AH61" s="4"/>
      <c r="AI61" s="4"/>
      <c r="AJ61" s="4"/>
      <c r="AK61" s="4"/>
      <c r="AL61" s="4" t="s">
        <v>1596</v>
      </c>
      <c r="AM61" s="4"/>
      <c r="AN61" s="4" t="s">
        <v>1597</v>
      </c>
      <c r="AO61" s="4"/>
      <c r="AP61" s="4" t="s">
        <v>130</v>
      </c>
      <c r="AQ61" s="4"/>
      <c r="AS61" s="4"/>
      <c r="AT61" s="4"/>
      <c r="AU61" s="4"/>
      <c r="AV61" s="4" t="s">
        <v>206</v>
      </c>
      <c r="AW61" s="4" t="s">
        <v>301</v>
      </c>
    </row>
    <row r="62" spans="1:49" x14ac:dyDescent="0.3">
      <c r="A62" s="4" t="s">
        <v>533</v>
      </c>
      <c r="B62" s="4" t="s">
        <v>62</v>
      </c>
      <c r="C62" s="4"/>
      <c r="D62" s="4" t="s">
        <v>90</v>
      </c>
      <c r="E62" s="4"/>
      <c r="F62" s="4" t="s">
        <v>1598</v>
      </c>
      <c r="G62" s="4"/>
      <c r="H62" s="4"/>
      <c r="I62" s="4" t="s">
        <v>723</v>
      </c>
      <c r="J62" s="4"/>
      <c r="K62" s="4" t="s">
        <v>1599</v>
      </c>
      <c r="L62" s="4"/>
      <c r="M62" s="4"/>
      <c r="N62" s="4"/>
      <c r="O62" s="4" t="s">
        <v>52</v>
      </c>
      <c r="P62" s="4" t="s">
        <v>52</v>
      </c>
      <c r="Q62" s="4" t="s">
        <v>52</v>
      </c>
      <c r="R62" s="4" t="s">
        <v>1600</v>
      </c>
      <c r="S62" s="4" t="s">
        <v>1601</v>
      </c>
      <c r="T62" s="4" t="s">
        <v>777</v>
      </c>
      <c r="U62" s="4"/>
      <c r="V62" s="4"/>
      <c r="W62" s="4"/>
      <c r="X62" s="4" t="s">
        <v>1602</v>
      </c>
      <c r="Y62" s="4"/>
      <c r="Z62" s="4"/>
      <c r="AA62" s="4" t="s">
        <v>1603</v>
      </c>
      <c r="AB62" s="4"/>
      <c r="AC62" s="4"/>
      <c r="AD62" s="4"/>
      <c r="AE62" s="4"/>
      <c r="AF62" s="4"/>
      <c r="AG62" s="4" t="s">
        <v>194</v>
      </c>
      <c r="AH62" s="4"/>
      <c r="AI62" s="4"/>
      <c r="AJ62" s="4"/>
      <c r="AK62" s="4"/>
      <c r="AL62" s="4" t="s">
        <v>1604</v>
      </c>
      <c r="AM62" s="4"/>
      <c r="AN62" s="4" t="s">
        <v>1605</v>
      </c>
      <c r="AO62" s="4"/>
      <c r="AP62" s="4" t="s">
        <v>1606</v>
      </c>
      <c r="AQ62" s="4"/>
      <c r="AS62" s="4"/>
      <c r="AT62" s="4"/>
      <c r="AU62" s="4"/>
      <c r="AV62" s="4" t="s">
        <v>71</v>
      </c>
      <c r="AW62" s="4" t="s">
        <v>383</v>
      </c>
    </row>
    <row r="63" spans="1:49" x14ac:dyDescent="0.3">
      <c r="A63" s="4" t="s">
        <v>543</v>
      </c>
      <c r="B63" s="4" t="s">
        <v>403</v>
      </c>
      <c r="C63" s="4"/>
      <c r="D63" s="4" t="s">
        <v>274</v>
      </c>
      <c r="E63" s="4"/>
      <c r="F63" s="4" t="s">
        <v>1607</v>
      </c>
      <c r="G63" s="4"/>
      <c r="H63" s="4"/>
      <c r="I63" s="4" t="s">
        <v>451</v>
      </c>
      <c r="J63" s="4"/>
      <c r="K63" s="4" t="s">
        <v>466</v>
      </c>
      <c r="L63" s="4"/>
      <c r="M63" s="4"/>
      <c r="N63" s="4"/>
      <c r="O63" s="4" t="s">
        <v>52</v>
      </c>
      <c r="P63" s="4" t="s">
        <v>52</v>
      </c>
      <c r="Q63" s="4" t="s">
        <v>52</v>
      </c>
      <c r="R63" s="4" t="s">
        <v>1608</v>
      </c>
      <c r="S63" s="4" t="s">
        <v>1609</v>
      </c>
      <c r="T63" s="4" t="s">
        <v>453</v>
      </c>
      <c r="U63" s="4"/>
      <c r="V63" s="4"/>
      <c r="W63" s="4"/>
      <c r="X63" s="4" t="s">
        <v>1610</v>
      </c>
      <c r="Y63" s="4"/>
      <c r="Z63" s="4"/>
      <c r="AA63" s="4" t="s">
        <v>1611</v>
      </c>
      <c r="AB63" s="4"/>
      <c r="AC63" s="4"/>
      <c r="AD63" s="4"/>
      <c r="AE63" s="4"/>
      <c r="AF63" s="4"/>
      <c r="AG63" s="4" t="s">
        <v>707</v>
      </c>
      <c r="AH63" s="4"/>
      <c r="AI63" s="4"/>
      <c r="AJ63" s="4"/>
      <c r="AK63" s="4"/>
      <c r="AL63" s="4" t="s">
        <v>1612</v>
      </c>
      <c r="AM63" s="4"/>
      <c r="AN63" s="4" t="s">
        <v>1613</v>
      </c>
      <c r="AO63" s="4"/>
      <c r="AP63" s="4" t="s">
        <v>1393</v>
      </c>
      <c r="AQ63" s="4"/>
      <c r="AS63" s="4"/>
      <c r="AT63" s="4"/>
      <c r="AU63" s="4"/>
      <c r="AV63" s="4" t="s">
        <v>94</v>
      </c>
      <c r="AW63" s="4" t="s">
        <v>391</v>
      </c>
    </row>
    <row r="64" spans="1:49" x14ac:dyDescent="0.3">
      <c r="A64" s="4" t="s">
        <v>552</v>
      </c>
      <c r="B64" s="4" t="s">
        <v>96</v>
      </c>
      <c r="C64" s="4"/>
      <c r="D64" s="4" t="s">
        <v>167</v>
      </c>
      <c r="E64" s="4"/>
      <c r="F64" s="4" t="s">
        <v>1614</v>
      </c>
      <c r="G64" s="4"/>
      <c r="H64" s="4"/>
      <c r="I64" s="4" t="s">
        <v>172</v>
      </c>
      <c r="J64" s="4"/>
      <c r="K64" s="4" t="s">
        <v>138</v>
      </c>
      <c r="L64" s="4"/>
      <c r="M64" s="4"/>
      <c r="N64" s="4"/>
      <c r="O64" s="4" t="s">
        <v>52</v>
      </c>
      <c r="P64" s="4" t="s">
        <v>52</v>
      </c>
      <c r="Q64" s="4" t="s">
        <v>52</v>
      </c>
      <c r="R64" s="4" t="s">
        <v>1615</v>
      </c>
      <c r="S64" s="4" t="s">
        <v>1616</v>
      </c>
      <c r="T64" s="4" t="s">
        <v>55</v>
      </c>
      <c r="U64" s="4"/>
      <c r="V64" s="4"/>
      <c r="W64" s="4"/>
      <c r="X64" s="4" t="s">
        <v>1617</v>
      </c>
      <c r="Y64" s="4"/>
      <c r="Z64" s="4"/>
      <c r="AA64" s="4" t="s">
        <v>1618</v>
      </c>
      <c r="AB64" s="4"/>
      <c r="AC64" s="4"/>
      <c r="AD64" s="4"/>
      <c r="AE64" s="4"/>
      <c r="AF64" s="4"/>
      <c r="AG64" s="4" t="s">
        <v>177</v>
      </c>
      <c r="AH64" s="4"/>
      <c r="AI64" s="4"/>
      <c r="AJ64" s="4"/>
      <c r="AK64" s="4"/>
      <c r="AL64" s="4" t="s">
        <v>1619</v>
      </c>
      <c r="AM64" s="4"/>
      <c r="AN64" s="4" t="s">
        <v>1620</v>
      </c>
      <c r="AO64" s="4"/>
      <c r="AP64" s="4" t="s">
        <v>1621</v>
      </c>
      <c r="AQ64" s="4"/>
      <c r="AS64" s="4"/>
      <c r="AT64" s="4"/>
      <c r="AU64" s="4"/>
      <c r="AV64" s="4" t="s">
        <v>56</v>
      </c>
      <c r="AW64" s="4" t="s">
        <v>263</v>
      </c>
    </row>
    <row r="65" spans="1:49" x14ac:dyDescent="0.3">
      <c r="A65" s="4" t="s">
        <v>560</v>
      </c>
      <c r="B65" s="4" t="s">
        <v>1234</v>
      </c>
      <c r="C65" s="4"/>
      <c r="D65" s="4" t="s">
        <v>1234</v>
      </c>
      <c r="E65" s="4"/>
      <c r="F65" s="4" t="s">
        <v>1234</v>
      </c>
      <c r="G65" s="4"/>
      <c r="H65" s="4"/>
      <c r="I65" s="4"/>
      <c r="J65" s="4"/>
      <c r="K65" s="4"/>
      <c r="L65" s="4"/>
      <c r="M65" s="4"/>
      <c r="N65" s="4"/>
      <c r="O65" s="4" t="s">
        <v>1234</v>
      </c>
      <c r="P65" s="4" t="s">
        <v>1234</v>
      </c>
      <c r="Q65" s="4" t="s">
        <v>1234</v>
      </c>
      <c r="R65" s="4" t="s">
        <v>1234</v>
      </c>
      <c r="S65" s="4" t="s">
        <v>1234</v>
      </c>
      <c r="T65" s="4" t="s">
        <v>1234</v>
      </c>
      <c r="U65" s="4"/>
      <c r="V65" s="4"/>
      <c r="W65" s="4"/>
      <c r="X65" s="4" t="s">
        <v>1234</v>
      </c>
      <c r="Y65" s="4"/>
      <c r="Z65" s="4"/>
      <c r="AA65" s="4" t="s">
        <v>1234</v>
      </c>
      <c r="AB65" s="4"/>
      <c r="AC65" s="4"/>
      <c r="AD65" s="4"/>
      <c r="AE65" s="4"/>
      <c r="AF65" s="4"/>
      <c r="AG65" s="4" t="s">
        <v>1234</v>
      </c>
      <c r="AH65" s="4"/>
      <c r="AI65" s="4"/>
      <c r="AJ65" s="4"/>
      <c r="AK65" s="4"/>
      <c r="AL65" s="4" t="s">
        <v>1234</v>
      </c>
      <c r="AM65" s="4"/>
      <c r="AN65" s="4" t="s">
        <v>1234</v>
      </c>
      <c r="AO65" s="4"/>
      <c r="AP65" s="4" t="s">
        <v>1234</v>
      </c>
      <c r="AQ65" s="4"/>
      <c r="AS65" s="4"/>
      <c r="AT65" s="4"/>
      <c r="AU65" s="4"/>
      <c r="AV65" s="4" t="s">
        <v>1234</v>
      </c>
      <c r="AW65" s="4" t="s">
        <v>1234</v>
      </c>
    </row>
    <row r="66" spans="1:49" x14ac:dyDescent="0.3">
      <c r="A66" s="4" t="s">
        <v>565</v>
      </c>
      <c r="B66" s="4" t="s">
        <v>1622</v>
      </c>
      <c r="C66" s="4"/>
      <c r="D66" s="4" t="s">
        <v>1623</v>
      </c>
      <c r="E66" s="4"/>
      <c r="F66" s="4" t="s">
        <v>1624</v>
      </c>
      <c r="G66" s="4"/>
      <c r="H66" s="4"/>
      <c r="I66" s="4"/>
      <c r="J66" s="4"/>
      <c r="K66" s="4"/>
      <c r="L66" s="4"/>
      <c r="M66" s="4"/>
      <c r="N66" s="4"/>
      <c r="O66" s="4" t="s">
        <v>52</v>
      </c>
      <c r="P66" s="4" t="s">
        <v>52</v>
      </c>
      <c r="Q66" s="4" t="s">
        <v>52</v>
      </c>
      <c r="R66" s="4" t="s">
        <v>1625</v>
      </c>
      <c r="S66" s="4" t="s">
        <v>1626</v>
      </c>
      <c r="T66" s="4"/>
      <c r="U66" s="4"/>
      <c r="V66" s="4" t="s">
        <v>1627</v>
      </c>
      <c r="W66" s="4"/>
      <c r="X66" s="4"/>
      <c r="Y66" s="4"/>
      <c r="Z66" s="4" t="s">
        <v>1628</v>
      </c>
      <c r="AA66" s="4"/>
      <c r="AB66" s="4"/>
      <c r="AC66" s="4"/>
      <c r="AD66" s="4" t="s">
        <v>1629</v>
      </c>
      <c r="AE66" s="4"/>
      <c r="AF66" s="4" t="s">
        <v>123</v>
      </c>
      <c r="AG66" s="4"/>
      <c r="AH66" s="4"/>
      <c r="AI66" s="4"/>
      <c r="AJ66" s="4"/>
      <c r="AK66" s="4"/>
      <c r="AL66" s="4" t="s">
        <v>1630</v>
      </c>
      <c r="AM66" s="4"/>
      <c r="AN66" s="4" t="s">
        <v>1631</v>
      </c>
      <c r="AO66" s="4"/>
      <c r="AP66" s="4" t="s">
        <v>1632</v>
      </c>
      <c r="AQ66" s="4"/>
      <c r="AS66" s="4"/>
      <c r="AT66" s="4"/>
      <c r="AU66" s="4"/>
      <c r="AV66" s="4" t="s">
        <v>388</v>
      </c>
      <c r="AW66" s="4" t="s">
        <v>331</v>
      </c>
    </row>
    <row r="67" spans="1:49" x14ac:dyDescent="0.3">
      <c r="A67" s="4" t="s">
        <v>572</v>
      </c>
      <c r="B67" s="4" t="s">
        <v>1633</v>
      </c>
      <c r="C67" s="4"/>
      <c r="D67" s="4" t="s">
        <v>511</v>
      </c>
      <c r="E67" s="4"/>
      <c r="F67" s="4" t="s">
        <v>1634</v>
      </c>
      <c r="G67" s="4"/>
      <c r="H67" s="4"/>
      <c r="I67" s="4"/>
      <c r="J67" s="4"/>
      <c r="K67" s="4"/>
      <c r="L67" s="4"/>
      <c r="M67" s="4"/>
      <c r="N67" s="4"/>
      <c r="O67" s="4" t="s">
        <v>52</v>
      </c>
      <c r="P67" s="4" t="s">
        <v>52</v>
      </c>
      <c r="Q67" s="4" t="s">
        <v>52</v>
      </c>
      <c r="R67" s="4" t="s">
        <v>1635</v>
      </c>
      <c r="S67" s="4" t="s">
        <v>1636</v>
      </c>
      <c r="T67" s="4"/>
      <c r="U67" s="4"/>
      <c r="V67" s="4" t="s">
        <v>1002</v>
      </c>
      <c r="W67" s="4"/>
      <c r="X67" s="4"/>
      <c r="Y67" s="4"/>
      <c r="Z67" s="4" t="s">
        <v>574</v>
      </c>
      <c r="AA67" s="4"/>
      <c r="AB67" s="4"/>
      <c r="AC67" s="4"/>
      <c r="AD67" s="4" t="s">
        <v>1637</v>
      </c>
      <c r="AE67" s="4"/>
      <c r="AF67" s="4" t="s">
        <v>289</v>
      </c>
      <c r="AG67" s="4"/>
      <c r="AH67" s="4"/>
      <c r="AI67" s="4"/>
      <c r="AJ67" s="4"/>
      <c r="AK67" s="4"/>
      <c r="AL67" s="4" t="s">
        <v>1638</v>
      </c>
      <c r="AM67" s="4"/>
      <c r="AN67" s="4" t="s">
        <v>1639</v>
      </c>
      <c r="AO67" s="4"/>
      <c r="AP67" s="4" t="s">
        <v>119</v>
      </c>
      <c r="AQ67" s="4"/>
      <c r="AS67" s="4"/>
      <c r="AT67" s="4"/>
      <c r="AU67" s="4"/>
      <c r="AV67" s="4" t="s">
        <v>206</v>
      </c>
      <c r="AW67" s="4" t="s">
        <v>383</v>
      </c>
    </row>
    <row r="68" spans="1:49" x14ac:dyDescent="0.3">
      <c r="A68" s="4" t="s">
        <v>577</v>
      </c>
      <c r="B68" s="4"/>
      <c r="C68" s="4" t="s">
        <v>49</v>
      </c>
      <c r="D68" s="4"/>
      <c r="E68" s="4" t="s">
        <v>460</v>
      </c>
      <c r="F68" s="4"/>
      <c r="G68" s="4" t="s">
        <v>1640</v>
      </c>
      <c r="H68" s="4" t="s">
        <v>1119</v>
      </c>
      <c r="I68" s="4"/>
      <c r="J68" s="4"/>
      <c r="K68" s="4"/>
      <c r="L68" s="4"/>
      <c r="M68" s="4"/>
      <c r="N68" s="4"/>
      <c r="O68" s="4"/>
      <c r="P68" s="4"/>
      <c r="Q68" s="4"/>
      <c r="R68" s="4" t="s">
        <v>1641</v>
      </c>
      <c r="S68" s="4" t="s">
        <v>1642</v>
      </c>
      <c r="T68" s="4"/>
      <c r="U68" s="4"/>
      <c r="V68" s="4"/>
      <c r="W68" s="4" t="s">
        <v>488</v>
      </c>
      <c r="X68" s="4"/>
      <c r="Y68" s="4"/>
      <c r="Z68" s="4"/>
      <c r="AA68" s="4"/>
      <c r="AB68" s="4" t="s">
        <v>1643</v>
      </c>
      <c r="AC68" s="4"/>
      <c r="AD68" s="4"/>
      <c r="AE68" s="4" t="s">
        <v>1644</v>
      </c>
      <c r="AF68" s="4" t="s">
        <v>1252</v>
      </c>
      <c r="AG68" s="4"/>
      <c r="AH68" s="4"/>
      <c r="AI68" s="4"/>
      <c r="AJ68" s="4"/>
      <c r="AK68" s="4" t="s">
        <v>1645</v>
      </c>
      <c r="AL68" s="4"/>
      <c r="AM68" s="4" t="s">
        <v>1646</v>
      </c>
      <c r="AN68" s="4"/>
      <c r="AO68" s="4" t="s">
        <v>473</v>
      </c>
      <c r="AP68" s="4"/>
      <c r="AQ68" s="4" t="s">
        <v>130</v>
      </c>
      <c r="AS68" s="4"/>
      <c r="AT68" s="4"/>
      <c r="AU68" s="4"/>
      <c r="AV68" s="4" t="s">
        <v>108</v>
      </c>
      <c r="AW68" s="4" t="s">
        <v>374</v>
      </c>
    </row>
    <row r="69" spans="1:49" x14ac:dyDescent="0.3">
      <c r="A69" s="4" t="s">
        <v>584</v>
      </c>
      <c r="B69" s="4"/>
      <c r="C69" s="4" t="s">
        <v>630</v>
      </c>
      <c r="D69" s="4"/>
      <c r="E69" s="4" t="s">
        <v>541</v>
      </c>
      <c r="F69" s="4"/>
      <c r="G69" s="4" t="s">
        <v>1647</v>
      </c>
      <c r="H69" s="4" t="s">
        <v>1648</v>
      </c>
      <c r="I69" s="4"/>
      <c r="J69" s="4"/>
      <c r="K69" s="4"/>
      <c r="L69" s="4"/>
      <c r="M69" s="4"/>
      <c r="N69" s="4"/>
      <c r="O69" s="4"/>
      <c r="P69" s="4"/>
      <c r="Q69" s="4"/>
      <c r="R69" s="4" t="s">
        <v>1649</v>
      </c>
      <c r="S69" s="4" t="s">
        <v>1650</v>
      </c>
      <c r="T69" s="4"/>
      <c r="U69" s="4"/>
      <c r="V69" s="4"/>
      <c r="W69" s="4" t="s">
        <v>1651</v>
      </c>
      <c r="X69" s="4"/>
      <c r="Y69" s="4"/>
      <c r="Z69" s="4"/>
      <c r="AA69" s="4"/>
      <c r="AB69" s="4" t="s">
        <v>1652</v>
      </c>
      <c r="AC69" s="4"/>
      <c r="AD69" s="4"/>
      <c r="AE69" s="4" t="s">
        <v>1653</v>
      </c>
      <c r="AF69" s="4" t="s">
        <v>117</v>
      </c>
      <c r="AG69" s="4"/>
      <c r="AH69" s="4"/>
      <c r="AI69" s="4"/>
      <c r="AJ69" s="4"/>
      <c r="AK69" s="4" t="s">
        <v>664</v>
      </c>
      <c r="AL69" s="4"/>
      <c r="AM69" s="4" t="s">
        <v>1654</v>
      </c>
      <c r="AN69" s="4"/>
      <c r="AO69" s="4" t="s">
        <v>1655</v>
      </c>
      <c r="AP69" s="4"/>
      <c r="AQ69" s="4" t="s">
        <v>328</v>
      </c>
      <c r="AS69" s="4"/>
      <c r="AT69" s="4"/>
      <c r="AU69" s="4"/>
      <c r="AV69" s="4" t="s">
        <v>147</v>
      </c>
      <c r="AW69" s="4" t="s">
        <v>66</v>
      </c>
    </row>
    <row r="70" spans="1:49" x14ac:dyDescent="0.3">
      <c r="A70" s="4" t="s">
        <v>591</v>
      </c>
      <c r="B70" s="4"/>
      <c r="C70" s="4" t="s">
        <v>471</v>
      </c>
      <c r="D70" s="4"/>
      <c r="E70" s="4" t="s">
        <v>50</v>
      </c>
      <c r="F70" s="4"/>
      <c r="G70" s="4" t="s">
        <v>1656</v>
      </c>
      <c r="H70" s="4" t="s">
        <v>1648</v>
      </c>
      <c r="I70" s="4"/>
      <c r="J70" s="4"/>
      <c r="K70" s="4"/>
      <c r="L70" s="4"/>
      <c r="M70" s="4"/>
      <c r="N70" s="4"/>
      <c r="O70" s="4"/>
      <c r="P70" s="4"/>
      <c r="Q70" s="4"/>
      <c r="R70" s="4" t="s">
        <v>1657</v>
      </c>
      <c r="S70" s="4" t="s">
        <v>1406</v>
      </c>
      <c r="T70" s="4"/>
      <c r="U70" s="4"/>
      <c r="V70" s="4"/>
      <c r="W70" s="4" t="s">
        <v>1658</v>
      </c>
      <c r="X70" s="4"/>
      <c r="Y70" s="4"/>
      <c r="Z70" s="4"/>
      <c r="AA70" s="4"/>
      <c r="AB70" s="4" t="s">
        <v>1659</v>
      </c>
      <c r="AC70" s="4"/>
      <c r="AD70" s="4"/>
      <c r="AE70" s="4" t="s">
        <v>1660</v>
      </c>
      <c r="AF70" s="4" t="s">
        <v>383</v>
      </c>
      <c r="AG70" s="4"/>
      <c r="AH70" s="4"/>
      <c r="AI70" s="4"/>
      <c r="AJ70" s="4"/>
      <c r="AK70" s="4" t="s">
        <v>1661</v>
      </c>
      <c r="AL70" s="4"/>
      <c r="AM70" s="4" t="s">
        <v>1662</v>
      </c>
      <c r="AN70" s="4"/>
      <c r="AO70" s="4" t="s">
        <v>271</v>
      </c>
      <c r="AP70" s="4"/>
      <c r="AQ70" s="4" t="s">
        <v>1525</v>
      </c>
      <c r="AS70" s="4"/>
      <c r="AT70" s="4"/>
      <c r="AU70" s="4"/>
      <c r="AV70" s="4" t="s">
        <v>228</v>
      </c>
      <c r="AW70" s="4" t="s">
        <v>439</v>
      </c>
    </row>
    <row r="71" spans="1:49" x14ac:dyDescent="0.3">
      <c r="A71" s="4" t="s">
        <v>600</v>
      </c>
      <c r="B71" s="4"/>
      <c r="C71" s="4" t="s">
        <v>201</v>
      </c>
      <c r="D71" s="4"/>
      <c r="E71" s="4" t="s">
        <v>167</v>
      </c>
      <c r="F71" s="4"/>
      <c r="G71" s="4" t="s">
        <v>1663</v>
      </c>
      <c r="H71" s="4" t="s">
        <v>602</v>
      </c>
      <c r="I71" s="4"/>
      <c r="J71" s="4"/>
      <c r="K71" s="4"/>
      <c r="L71" s="4"/>
      <c r="M71" s="4"/>
      <c r="N71" s="4"/>
      <c r="O71" s="4"/>
      <c r="P71" s="4"/>
      <c r="Q71" s="4"/>
      <c r="R71" s="4" t="s">
        <v>1664</v>
      </c>
      <c r="S71" s="4" t="s">
        <v>1665</v>
      </c>
      <c r="T71" s="4"/>
      <c r="U71" s="4" t="s">
        <v>1658</v>
      </c>
      <c r="V71" s="4"/>
      <c r="W71" s="4"/>
      <c r="X71" s="4"/>
      <c r="Y71" s="4" t="s">
        <v>1666</v>
      </c>
      <c r="Z71" s="4"/>
      <c r="AA71" s="4"/>
      <c r="AB71" s="4"/>
      <c r="AC71" s="4" t="s">
        <v>1667</v>
      </c>
      <c r="AD71" s="4"/>
      <c r="AE71" s="4"/>
      <c r="AF71" s="4"/>
      <c r="AG71" s="4" t="s">
        <v>79</v>
      </c>
      <c r="AH71" s="4"/>
      <c r="AI71" s="4"/>
      <c r="AJ71" s="4"/>
      <c r="AK71" s="4" t="s">
        <v>649</v>
      </c>
      <c r="AL71" s="4"/>
      <c r="AM71" s="4" t="s">
        <v>1668</v>
      </c>
      <c r="AN71" s="4"/>
      <c r="AO71" s="4" t="s">
        <v>1335</v>
      </c>
      <c r="AP71" s="4"/>
      <c r="AQ71" s="4" t="s">
        <v>260</v>
      </c>
      <c r="AS71" s="4"/>
      <c r="AT71" s="4"/>
      <c r="AU71" s="4"/>
      <c r="AV71" s="4" t="s">
        <v>55</v>
      </c>
      <c r="AW71" s="4" t="s">
        <v>263</v>
      </c>
    </row>
    <row r="72" spans="1:49" x14ac:dyDescent="0.3">
      <c r="A72" s="4" t="s">
        <v>606</v>
      </c>
      <c r="B72" s="4"/>
      <c r="C72" s="4" t="s">
        <v>1669</v>
      </c>
      <c r="D72" s="4"/>
      <c r="E72" s="4" t="s">
        <v>1670</v>
      </c>
      <c r="F72" s="4"/>
      <c r="G72" s="4" t="s">
        <v>1671</v>
      </c>
      <c r="H72" s="4" t="s">
        <v>616</v>
      </c>
      <c r="I72" s="4"/>
      <c r="J72" s="4" t="s">
        <v>453</v>
      </c>
      <c r="K72" s="4"/>
      <c r="L72" s="4" t="s">
        <v>67</v>
      </c>
      <c r="M72" s="4"/>
      <c r="N72" s="4"/>
      <c r="O72" s="4"/>
      <c r="P72" s="4"/>
      <c r="Q72" s="4"/>
      <c r="R72" s="4" t="s">
        <v>1672</v>
      </c>
      <c r="S72" s="4" t="s">
        <v>1673</v>
      </c>
      <c r="T72" s="4"/>
      <c r="U72" s="4" t="s">
        <v>1674</v>
      </c>
      <c r="V72" s="4"/>
      <c r="W72" s="4"/>
      <c r="X72" s="4"/>
      <c r="Y72" s="4" t="s">
        <v>1675</v>
      </c>
      <c r="Z72" s="4"/>
      <c r="AA72" s="4"/>
      <c r="AB72" s="4"/>
      <c r="AC72" s="4" t="s">
        <v>1676</v>
      </c>
      <c r="AD72" s="4"/>
      <c r="AE72" s="4"/>
      <c r="AF72" s="4"/>
      <c r="AG72" s="4" t="s">
        <v>90</v>
      </c>
      <c r="AH72" s="4"/>
      <c r="AI72" s="4"/>
      <c r="AJ72" s="4"/>
      <c r="AK72" s="4" t="s">
        <v>1677</v>
      </c>
      <c r="AL72" s="4"/>
      <c r="AM72" s="4" t="s">
        <v>1678</v>
      </c>
      <c r="AN72" s="4"/>
      <c r="AO72" s="4" t="s">
        <v>281</v>
      </c>
      <c r="AP72" s="4"/>
      <c r="AQ72" s="4" t="s">
        <v>1313</v>
      </c>
      <c r="AS72" s="4"/>
      <c r="AT72" s="4"/>
      <c r="AU72" s="4"/>
      <c r="AV72" s="4" t="s">
        <v>274</v>
      </c>
      <c r="AW72" s="4" t="s">
        <v>206</v>
      </c>
    </row>
    <row r="73" spans="1:49" x14ac:dyDescent="0.3">
      <c r="A73" s="4" t="s">
        <v>614</v>
      </c>
      <c r="B73" s="4"/>
      <c r="C73" s="4" t="s">
        <v>1679</v>
      </c>
      <c r="D73" s="4"/>
      <c r="E73" s="4" t="s">
        <v>1680</v>
      </c>
      <c r="F73" s="4"/>
      <c r="G73" s="4" t="s">
        <v>1681</v>
      </c>
      <c r="H73" s="4" t="s">
        <v>1682</v>
      </c>
      <c r="I73" s="4"/>
      <c r="J73" s="4" t="s">
        <v>792</v>
      </c>
      <c r="K73" s="4"/>
      <c r="L73" s="4" t="s">
        <v>134</v>
      </c>
      <c r="M73" s="4"/>
      <c r="N73" s="4"/>
      <c r="O73" s="4"/>
      <c r="P73" s="4"/>
      <c r="Q73" s="4"/>
      <c r="R73" s="4" t="s">
        <v>1683</v>
      </c>
      <c r="S73" s="4" t="s">
        <v>1684</v>
      </c>
      <c r="T73" s="4"/>
      <c r="U73" s="4" t="s">
        <v>695</v>
      </c>
      <c r="V73" s="4"/>
      <c r="W73" s="4"/>
      <c r="X73" s="4"/>
      <c r="Y73" s="4" t="s">
        <v>1685</v>
      </c>
      <c r="Z73" s="4"/>
      <c r="AA73" s="4"/>
      <c r="AB73" s="4"/>
      <c r="AC73" s="4" t="s">
        <v>1686</v>
      </c>
      <c r="AD73" s="4"/>
      <c r="AE73" s="4"/>
      <c r="AF73" s="4"/>
      <c r="AG73" s="4" t="s">
        <v>172</v>
      </c>
      <c r="AH73" s="4"/>
      <c r="AI73" s="4"/>
      <c r="AJ73" s="4"/>
      <c r="AK73" s="4" t="s">
        <v>631</v>
      </c>
      <c r="AL73" s="4"/>
      <c r="AM73" s="4" t="s">
        <v>1687</v>
      </c>
      <c r="AN73" s="4"/>
      <c r="AO73" s="4" t="s">
        <v>1688</v>
      </c>
      <c r="AP73" s="4"/>
      <c r="AQ73" s="4" t="s">
        <v>1689</v>
      </c>
      <c r="AS73" s="4"/>
      <c r="AT73" s="4"/>
      <c r="AU73" s="4"/>
      <c r="AV73" s="4" t="s">
        <v>94</v>
      </c>
      <c r="AW73" s="4" t="s">
        <v>263</v>
      </c>
    </row>
    <row r="74" spans="1:49" x14ac:dyDescent="0.3">
      <c r="A74" s="4" t="s">
        <v>624</v>
      </c>
      <c r="B74" s="4"/>
      <c r="C74" s="4" t="s">
        <v>1690</v>
      </c>
      <c r="D74" s="4"/>
      <c r="E74" s="4" t="s">
        <v>1691</v>
      </c>
      <c r="F74" s="4"/>
      <c r="G74" s="4" t="s">
        <v>1692</v>
      </c>
      <c r="H74" s="4" t="s">
        <v>635</v>
      </c>
      <c r="I74" s="4"/>
      <c r="J74" s="4" t="s">
        <v>1693</v>
      </c>
      <c r="K74" s="4"/>
      <c r="L74" s="4" t="s">
        <v>144</v>
      </c>
      <c r="M74" s="4"/>
      <c r="N74" s="4"/>
      <c r="O74" s="4"/>
      <c r="P74" s="4"/>
      <c r="Q74" s="4"/>
      <c r="R74" s="4" t="s">
        <v>1694</v>
      </c>
      <c r="S74" s="4" t="s">
        <v>1695</v>
      </c>
      <c r="T74" s="4"/>
      <c r="U74" s="4" t="s">
        <v>900</v>
      </c>
      <c r="V74" s="4"/>
      <c r="W74" s="4"/>
      <c r="X74" s="4"/>
      <c r="Y74" s="4" t="s">
        <v>1696</v>
      </c>
      <c r="Z74" s="4"/>
      <c r="AA74" s="4"/>
      <c r="AB74" s="4"/>
      <c r="AC74" s="4" t="s">
        <v>1697</v>
      </c>
      <c r="AD74" s="4"/>
      <c r="AE74" s="4"/>
      <c r="AF74" s="4"/>
      <c r="AG74" s="4" t="s">
        <v>158</v>
      </c>
      <c r="AH74" s="4"/>
      <c r="AI74" s="4"/>
      <c r="AJ74" s="4"/>
      <c r="AK74" s="4" t="s">
        <v>1698</v>
      </c>
      <c r="AL74" s="4"/>
      <c r="AM74" s="4" t="s">
        <v>1699</v>
      </c>
      <c r="AN74" s="4"/>
      <c r="AO74" s="4" t="s">
        <v>473</v>
      </c>
      <c r="AP74" s="4"/>
      <c r="AQ74" s="4" t="s">
        <v>1700</v>
      </c>
      <c r="AS74" s="4"/>
      <c r="AT74" s="4"/>
      <c r="AU74" s="4"/>
      <c r="AV74" s="4" t="s">
        <v>134</v>
      </c>
      <c r="AW74" s="4" t="s">
        <v>263</v>
      </c>
    </row>
    <row r="75" spans="1:49" x14ac:dyDescent="0.3">
      <c r="A75" s="4" t="s">
        <v>633</v>
      </c>
      <c r="B75" s="4"/>
      <c r="C75" s="4" t="s">
        <v>1701</v>
      </c>
      <c r="D75" s="4"/>
      <c r="E75" s="4" t="s">
        <v>570</v>
      </c>
      <c r="F75" s="4"/>
      <c r="G75" s="4" t="s">
        <v>1702</v>
      </c>
      <c r="H75" s="4" t="s">
        <v>1703</v>
      </c>
      <c r="I75" s="4"/>
      <c r="J75" s="4" t="s">
        <v>215</v>
      </c>
      <c r="K75" s="4"/>
      <c r="L75" s="4" t="s">
        <v>174</v>
      </c>
      <c r="M75" s="4"/>
      <c r="N75" s="4"/>
      <c r="O75" s="4"/>
      <c r="P75" s="4"/>
      <c r="Q75" s="4"/>
      <c r="R75" s="4" t="s">
        <v>1704</v>
      </c>
      <c r="S75" s="4" t="s">
        <v>1705</v>
      </c>
      <c r="T75" s="4"/>
      <c r="U75" s="4" t="s">
        <v>276</v>
      </c>
      <c r="V75" s="4"/>
      <c r="W75" s="4"/>
      <c r="X75" s="4"/>
      <c r="Y75" s="4" t="s">
        <v>1706</v>
      </c>
      <c r="Z75" s="4"/>
      <c r="AA75" s="4"/>
      <c r="AB75" s="4"/>
      <c r="AC75" s="4" t="s">
        <v>1707</v>
      </c>
      <c r="AD75" s="4"/>
      <c r="AE75" s="4"/>
      <c r="AF75" s="4"/>
      <c r="AG75" s="4" t="s">
        <v>172</v>
      </c>
      <c r="AH75" s="4"/>
      <c r="AI75" s="4"/>
      <c r="AJ75" s="4"/>
      <c r="AK75" s="4" t="s">
        <v>1708</v>
      </c>
      <c r="AL75" s="4"/>
      <c r="AM75" s="4" t="s">
        <v>1709</v>
      </c>
      <c r="AN75" s="4"/>
      <c r="AO75" s="4" t="s">
        <v>1710</v>
      </c>
      <c r="AP75" s="4"/>
      <c r="AQ75" s="4" t="s">
        <v>1308</v>
      </c>
      <c r="AS75" s="4"/>
      <c r="AT75" s="4"/>
      <c r="AU75" s="4"/>
      <c r="AV75" s="4" t="s">
        <v>134</v>
      </c>
      <c r="AW75" s="4" t="s">
        <v>263</v>
      </c>
    </row>
    <row r="76" spans="1:49" x14ac:dyDescent="0.3">
      <c r="A76" s="4" t="s">
        <v>642</v>
      </c>
      <c r="B76" s="4"/>
      <c r="C76" s="4" t="s">
        <v>305</v>
      </c>
      <c r="D76" s="4"/>
      <c r="E76" s="4" t="s">
        <v>84</v>
      </c>
      <c r="F76" s="4"/>
      <c r="G76" s="4" t="s">
        <v>1711</v>
      </c>
      <c r="H76" s="4" t="s">
        <v>1712</v>
      </c>
      <c r="I76" s="4"/>
      <c r="J76" s="4" t="s">
        <v>308</v>
      </c>
      <c r="K76" s="4"/>
      <c r="L76" s="4" t="s">
        <v>804</v>
      </c>
      <c r="M76" s="4"/>
      <c r="N76" s="4"/>
      <c r="O76" s="4"/>
      <c r="P76" s="4"/>
      <c r="Q76" s="4"/>
      <c r="R76" s="4" t="s">
        <v>1713</v>
      </c>
      <c r="S76" s="4" t="s">
        <v>1514</v>
      </c>
      <c r="T76" s="4"/>
      <c r="U76" s="4" t="s">
        <v>727</v>
      </c>
      <c r="V76" s="4"/>
      <c r="W76" s="4"/>
      <c r="X76" s="4"/>
      <c r="Y76" s="4" t="s">
        <v>1714</v>
      </c>
      <c r="Z76" s="4"/>
      <c r="AA76" s="4"/>
      <c r="AB76" s="4"/>
      <c r="AC76" s="4" t="s">
        <v>1715</v>
      </c>
      <c r="AD76" s="4"/>
      <c r="AE76" s="4"/>
      <c r="AF76" s="4"/>
      <c r="AG76" s="4" t="s">
        <v>70</v>
      </c>
      <c r="AH76" s="4"/>
      <c r="AI76" s="4"/>
      <c r="AJ76" s="4"/>
      <c r="AK76" s="4" t="s">
        <v>1716</v>
      </c>
      <c r="AL76" s="4"/>
      <c r="AM76" s="4" t="s">
        <v>1717</v>
      </c>
      <c r="AN76" s="4"/>
      <c r="AO76" s="4" t="s">
        <v>501</v>
      </c>
      <c r="AP76" s="4"/>
      <c r="AQ76" s="4" t="s">
        <v>1620</v>
      </c>
      <c r="AS76" s="4"/>
      <c r="AT76" s="4"/>
      <c r="AU76" s="4"/>
      <c r="AV76" s="4" t="s">
        <v>274</v>
      </c>
      <c r="AW76" s="4" t="s">
        <v>263</v>
      </c>
    </row>
    <row r="77" spans="1:49" x14ac:dyDescent="0.3">
      <c r="A77" s="4" t="s">
        <v>652</v>
      </c>
      <c r="B77" s="4"/>
      <c r="C77" s="4" t="s">
        <v>653</v>
      </c>
      <c r="D77" s="4"/>
      <c r="E77" s="4" t="s">
        <v>511</v>
      </c>
      <c r="F77" s="4"/>
      <c r="G77" s="4" t="s">
        <v>1718</v>
      </c>
      <c r="H77" s="4" t="s">
        <v>1719</v>
      </c>
      <c r="I77" s="4"/>
      <c r="J77" s="4"/>
      <c r="K77" s="4"/>
      <c r="L77" s="4"/>
      <c r="M77" s="4"/>
      <c r="N77" s="4"/>
      <c r="O77" s="4"/>
      <c r="P77" s="4"/>
      <c r="Q77" s="4"/>
      <c r="R77" s="4" t="s">
        <v>1641</v>
      </c>
      <c r="S77" s="4" t="s">
        <v>1720</v>
      </c>
      <c r="T77" s="4"/>
      <c r="U77" s="4" t="s">
        <v>1721</v>
      </c>
      <c r="V77" s="4"/>
      <c r="W77" s="4"/>
      <c r="X77" s="4"/>
      <c r="Y77" s="4" t="s">
        <v>1722</v>
      </c>
      <c r="Z77" s="4"/>
      <c r="AA77" s="4"/>
      <c r="AB77" s="4"/>
      <c r="AC77" s="4" t="s">
        <v>1723</v>
      </c>
      <c r="AD77" s="4"/>
      <c r="AE77" s="4"/>
      <c r="AF77" s="4"/>
      <c r="AG77" s="4" t="s">
        <v>55</v>
      </c>
      <c r="AH77" s="4"/>
      <c r="AI77" s="4"/>
      <c r="AJ77" s="4"/>
      <c r="AK77" s="4" t="s">
        <v>1724</v>
      </c>
      <c r="AL77" s="4"/>
      <c r="AM77" s="4" t="s">
        <v>1725</v>
      </c>
      <c r="AN77" s="4"/>
      <c r="AO77" s="4" t="s">
        <v>1726</v>
      </c>
      <c r="AP77" s="4"/>
      <c r="AQ77" s="4" t="s">
        <v>1727</v>
      </c>
      <c r="AS77" s="4"/>
      <c r="AT77" s="4"/>
      <c r="AU77" s="4"/>
      <c r="AV77" s="4" t="s">
        <v>60</v>
      </c>
      <c r="AW77" s="4" t="s">
        <v>117</v>
      </c>
    </row>
    <row r="78" spans="1:49" x14ac:dyDescent="0.3">
      <c r="A78" s="4" t="s">
        <v>660</v>
      </c>
      <c r="B78" s="4"/>
      <c r="C78" s="4" t="s">
        <v>744</v>
      </c>
      <c r="D78" s="4"/>
      <c r="E78" s="4" t="s">
        <v>650</v>
      </c>
      <c r="F78" s="4"/>
      <c r="G78" s="4" t="s">
        <v>1728</v>
      </c>
      <c r="H78" s="4" t="s">
        <v>1682</v>
      </c>
      <c r="I78" s="4"/>
      <c r="J78" s="4"/>
      <c r="K78" s="4"/>
      <c r="L78" s="4"/>
      <c r="M78" s="4"/>
      <c r="N78" s="4"/>
      <c r="O78" s="4"/>
      <c r="P78" s="4"/>
      <c r="Q78" s="4"/>
      <c r="R78" s="4" t="s">
        <v>1729</v>
      </c>
      <c r="S78" s="4" t="s">
        <v>1730</v>
      </c>
      <c r="T78" s="4"/>
      <c r="U78" s="4"/>
      <c r="V78" s="4"/>
      <c r="W78" s="4" t="s">
        <v>94</v>
      </c>
      <c r="X78" s="4"/>
      <c r="Y78" s="4"/>
      <c r="Z78" s="4"/>
      <c r="AA78" s="4"/>
      <c r="AB78" s="4" t="s">
        <v>1731</v>
      </c>
      <c r="AC78" s="4"/>
      <c r="AD78" s="4"/>
      <c r="AE78" s="4" t="s">
        <v>1732</v>
      </c>
      <c r="AF78" s="4" t="s">
        <v>56</v>
      </c>
      <c r="AG78" s="4"/>
      <c r="AH78" s="4"/>
      <c r="AI78" s="4"/>
      <c r="AJ78" s="4"/>
      <c r="AK78" s="4" t="s">
        <v>1733</v>
      </c>
      <c r="AL78" s="4"/>
      <c r="AM78" s="4" t="s">
        <v>1734</v>
      </c>
      <c r="AN78" s="4"/>
      <c r="AO78" s="4" t="s">
        <v>1735</v>
      </c>
      <c r="AP78" s="4"/>
      <c r="AQ78" s="4" t="s">
        <v>1266</v>
      </c>
      <c r="AS78" s="4"/>
      <c r="AT78" s="4"/>
      <c r="AU78" s="4"/>
      <c r="AV78" s="4" t="s">
        <v>133</v>
      </c>
      <c r="AW78" s="4" t="s">
        <v>121</v>
      </c>
    </row>
    <row r="79" spans="1:49" x14ac:dyDescent="0.3">
      <c r="A79" s="4" t="s">
        <v>666</v>
      </c>
      <c r="B79" s="4"/>
      <c r="C79" s="4" t="s">
        <v>727</v>
      </c>
      <c r="D79" s="4"/>
      <c r="E79" s="4" t="s">
        <v>727</v>
      </c>
      <c r="F79" s="4"/>
      <c r="G79" s="4" t="s">
        <v>1736</v>
      </c>
      <c r="H79" s="4" t="s">
        <v>230</v>
      </c>
      <c r="I79" s="4"/>
      <c r="J79" s="4"/>
      <c r="K79" s="4"/>
      <c r="L79" s="4"/>
      <c r="M79" s="4"/>
      <c r="N79" s="4"/>
      <c r="O79" s="4"/>
      <c r="P79" s="4"/>
      <c r="Q79" s="4"/>
      <c r="R79" s="4" t="s">
        <v>1737</v>
      </c>
      <c r="S79" s="4" t="s">
        <v>1738</v>
      </c>
      <c r="T79" s="4"/>
      <c r="U79" s="4"/>
      <c r="V79" s="4"/>
      <c r="W79" s="4" t="s">
        <v>158</v>
      </c>
      <c r="X79" s="4"/>
      <c r="Y79" s="4"/>
      <c r="Z79" s="4"/>
      <c r="AA79" s="4"/>
      <c r="AB79" s="4" t="s">
        <v>1739</v>
      </c>
      <c r="AC79" s="4"/>
      <c r="AD79" s="4"/>
      <c r="AE79" s="4" t="s">
        <v>1594</v>
      </c>
      <c r="AF79" s="4" t="s">
        <v>158</v>
      </c>
      <c r="AG79" s="4"/>
      <c r="AH79" s="4"/>
      <c r="AI79" s="4"/>
      <c r="AJ79" s="4"/>
      <c r="AK79" s="4" t="s">
        <v>1740</v>
      </c>
      <c r="AL79" s="4"/>
      <c r="AM79" s="4" t="s">
        <v>1741</v>
      </c>
      <c r="AN79" s="4"/>
      <c r="AO79" s="4" t="s">
        <v>156</v>
      </c>
      <c r="AP79" s="4"/>
      <c r="AQ79" s="4" t="s">
        <v>118</v>
      </c>
      <c r="AS79" s="4"/>
      <c r="AT79" s="4"/>
      <c r="AU79" s="4"/>
      <c r="AV79" s="4" t="s">
        <v>71</v>
      </c>
      <c r="AW79" s="4" t="s">
        <v>56</v>
      </c>
    </row>
    <row r="80" spans="1:49" x14ac:dyDescent="0.3">
      <c r="A80" s="4" t="s">
        <v>676</v>
      </c>
      <c r="B80" s="4"/>
      <c r="C80" s="4" t="s">
        <v>1742</v>
      </c>
      <c r="D80" s="4"/>
      <c r="E80" s="4" t="s">
        <v>377</v>
      </c>
      <c r="F80" s="4"/>
      <c r="G80" s="4" t="s">
        <v>1743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 t="s">
        <v>1744</v>
      </c>
      <c r="S80" s="4" t="s">
        <v>1745</v>
      </c>
      <c r="T80" s="4"/>
      <c r="U80" s="4"/>
      <c r="V80" s="4"/>
      <c r="W80" s="4" t="s">
        <v>73</v>
      </c>
      <c r="X80" s="4"/>
      <c r="Y80" s="4"/>
      <c r="Z80" s="4"/>
      <c r="AA80" s="4"/>
      <c r="AB80" s="4" t="s">
        <v>1746</v>
      </c>
      <c r="AC80" s="4"/>
      <c r="AD80" s="4"/>
      <c r="AE80" s="4" t="s">
        <v>1747</v>
      </c>
      <c r="AF80" s="4" t="s">
        <v>249</v>
      </c>
      <c r="AG80" s="4"/>
      <c r="AH80" s="4"/>
      <c r="AI80" s="4"/>
      <c r="AJ80" s="4"/>
      <c r="AK80" s="4"/>
      <c r="AL80" s="4"/>
      <c r="AM80" s="4" t="s">
        <v>1748</v>
      </c>
      <c r="AN80" s="4"/>
      <c r="AO80" s="4" t="s">
        <v>445</v>
      </c>
      <c r="AP80" s="4"/>
      <c r="AQ80" s="4" t="s">
        <v>347</v>
      </c>
      <c r="AS80" s="4"/>
      <c r="AT80" s="4"/>
      <c r="AU80" s="4"/>
      <c r="AV80" s="4" t="s">
        <v>107</v>
      </c>
      <c r="AW80" s="4" t="s">
        <v>94</v>
      </c>
    </row>
    <row r="81" spans="1:49" x14ac:dyDescent="0.3">
      <c r="A81" s="4" t="s">
        <v>680</v>
      </c>
      <c r="B81" s="4"/>
      <c r="C81" s="4" t="s">
        <v>1749</v>
      </c>
      <c r="D81" s="4"/>
      <c r="E81" s="4" t="s">
        <v>298</v>
      </c>
      <c r="F81" s="4"/>
      <c r="G81" s="4" t="s">
        <v>1750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 t="s">
        <v>1751</v>
      </c>
      <c r="S81" s="4" t="s">
        <v>1745</v>
      </c>
      <c r="T81" s="4"/>
      <c r="U81" s="4"/>
      <c r="V81" s="4"/>
      <c r="W81" s="4" t="s">
        <v>1651</v>
      </c>
      <c r="X81" s="4"/>
      <c r="Y81" s="4"/>
      <c r="Z81" s="4"/>
      <c r="AA81" s="4"/>
      <c r="AB81" s="4" t="s">
        <v>1752</v>
      </c>
      <c r="AC81" s="4"/>
      <c r="AD81" s="4"/>
      <c r="AE81" s="4" t="s">
        <v>1753</v>
      </c>
      <c r="AF81" s="4" t="s">
        <v>289</v>
      </c>
      <c r="AG81" s="4"/>
      <c r="AH81" s="4"/>
      <c r="AI81" s="4"/>
      <c r="AJ81" s="4"/>
      <c r="AK81" s="4"/>
      <c r="AL81" s="4"/>
      <c r="AM81" s="4" t="s">
        <v>1754</v>
      </c>
      <c r="AN81" s="4"/>
      <c r="AO81" s="4" t="s">
        <v>508</v>
      </c>
      <c r="AP81" s="4"/>
      <c r="AQ81" s="4" t="s">
        <v>485</v>
      </c>
      <c r="AS81" s="4"/>
      <c r="AT81" s="4"/>
      <c r="AU81" s="4"/>
      <c r="AV81" s="4" t="s">
        <v>133</v>
      </c>
      <c r="AW81" s="4" t="s">
        <v>249</v>
      </c>
    </row>
    <row r="82" spans="1:49" x14ac:dyDescent="0.3">
      <c r="A82" s="4" t="s">
        <v>686</v>
      </c>
      <c r="B82" s="4"/>
      <c r="C82" s="4" t="s">
        <v>1755</v>
      </c>
      <c r="D82" s="4"/>
      <c r="E82" s="4" t="s">
        <v>73</v>
      </c>
      <c r="F82" s="4"/>
      <c r="G82" s="4" t="s">
        <v>1756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 t="s">
        <v>1757</v>
      </c>
      <c r="S82" s="4" t="s">
        <v>1745</v>
      </c>
      <c r="T82" s="4"/>
      <c r="U82" s="4"/>
      <c r="V82" s="4"/>
      <c r="W82" s="4" t="s">
        <v>409</v>
      </c>
      <c r="X82" s="4"/>
      <c r="Y82" s="4"/>
      <c r="Z82" s="4"/>
      <c r="AA82" s="4"/>
      <c r="AB82" s="4" t="s">
        <v>858</v>
      </c>
      <c r="AC82" s="4"/>
      <c r="AD82" s="4"/>
      <c r="AE82" s="4" t="s">
        <v>1758</v>
      </c>
      <c r="AF82" s="4" t="s">
        <v>123</v>
      </c>
      <c r="AG82" s="4"/>
      <c r="AH82" s="4"/>
      <c r="AI82" s="4"/>
      <c r="AJ82" s="4"/>
      <c r="AK82" s="4"/>
      <c r="AL82" s="4"/>
      <c r="AM82" s="4" t="s">
        <v>1759</v>
      </c>
      <c r="AN82" s="4"/>
      <c r="AO82" s="4" t="s">
        <v>264</v>
      </c>
      <c r="AP82" s="4"/>
      <c r="AQ82" s="4" t="s">
        <v>1760</v>
      </c>
      <c r="AS82" s="4"/>
      <c r="AT82" s="4"/>
      <c r="AU82" s="4"/>
      <c r="AV82" s="4" t="s">
        <v>158</v>
      </c>
      <c r="AW82" s="4" t="s">
        <v>66</v>
      </c>
    </row>
    <row r="83" spans="1:49" x14ac:dyDescent="0.3">
      <c r="A83" s="4" t="s">
        <v>692</v>
      </c>
      <c r="B83" s="4"/>
      <c r="C83" s="4" t="s">
        <v>1761</v>
      </c>
      <c r="D83" s="4"/>
      <c r="E83" s="4" t="s">
        <v>297</v>
      </c>
      <c r="F83" s="4"/>
      <c r="G83" s="4" t="s">
        <v>1762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 t="s">
        <v>1480</v>
      </c>
      <c r="S83" s="4" t="s">
        <v>1737</v>
      </c>
      <c r="T83" s="4"/>
      <c r="U83" s="4" t="s">
        <v>535</v>
      </c>
      <c r="V83" s="4"/>
      <c r="W83" s="4"/>
      <c r="X83" s="4"/>
      <c r="Y83" s="4" t="s">
        <v>1763</v>
      </c>
      <c r="Z83" s="4"/>
      <c r="AA83" s="4"/>
      <c r="AB83" s="4"/>
      <c r="AC83" s="4" t="s">
        <v>563</v>
      </c>
      <c r="AD83" s="4"/>
      <c r="AE83" s="4"/>
      <c r="AF83" s="4"/>
      <c r="AG83" s="4" t="s">
        <v>117</v>
      </c>
      <c r="AH83" s="4"/>
      <c r="AI83" s="4"/>
      <c r="AJ83" s="4"/>
      <c r="AK83" s="4"/>
      <c r="AL83" s="4"/>
      <c r="AM83" s="4" t="s">
        <v>1764</v>
      </c>
      <c r="AN83" s="4"/>
      <c r="AO83" s="4" t="s">
        <v>425</v>
      </c>
      <c r="AP83" s="4"/>
      <c r="AQ83" s="4" t="s">
        <v>1765</v>
      </c>
      <c r="AS83" s="4"/>
      <c r="AT83" s="4"/>
      <c r="AU83" s="4"/>
      <c r="AV83" s="4" t="s">
        <v>274</v>
      </c>
      <c r="AW83" s="4" t="s">
        <v>66</v>
      </c>
    </row>
    <row r="84" spans="1:49" x14ac:dyDescent="0.3">
      <c r="A84" s="4" t="s">
        <v>697</v>
      </c>
      <c r="B84" s="4"/>
      <c r="C84" s="4" t="s">
        <v>50</v>
      </c>
      <c r="D84" s="4"/>
      <c r="E84" s="4" t="s">
        <v>96</v>
      </c>
      <c r="F84" s="4"/>
      <c r="G84" s="4" t="s">
        <v>1766</v>
      </c>
      <c r="H84" s="4"/>
      <c r="I84" s="4"/>
      <c r="J84" s="4" t="s">
        <v>1767</v>
      </c>
      <c r="K84" s="4"/>
      <c r="L84" s="4" t="s">
        <v>712</v>
      </c>
      <c r="M84" s="4"/>
      <c r="N84" s="4"/>
      <c r="O84" s="4"/>
      <c r="P84" s="4"/>
      <c r="Q84" s="4"/>
      <c r="R84" s="4" t="s">
        <v>201</v>
      </c>
      <c r="S84" s="4" t="s">
        <v>1768</v>
      </c>
      <c r="T84" s="4"/>
      <c r="U84" s="4" t="s">
        <v>377</v>
      </c>
      <c r="V84" s="4"/>
      <c r="W84" s="4"/>
      <c r="X84" s="4"/>
      <c r="Y84" s="4" t="s">
        <v>1769</v>
      </c>
      <c r="Z84" s="4"/>
      <c r="AA84" s="4"/>
      <c r="AB84" s="4"/>
      <c r="AC84" s="4" t="s">
        <v>1770</v>
      </c>
      <c r="AD84" s="4"/>
      <c r="AE84" s="4"/>
      <c r="AF84" s="4"/>
      <c r="AG84" s="4" t="s">
        <v>70</v>
      </c>
      <c r="AH84" s="4"/>
      <c r="AI84" s="4"/>
      <c r="AJ84" s="4"/>
      <c r="AK84" s="4"/>
      <c r="AL84" s="4"/>
      <c r="AM84" s="4" t="s">
        <v>1771</v>
      </c>
      <c r="AN84" s="4"/>
      <c r="AO84" s="4" t="s">
        <v>1772</v>
      </c>
      <c r="AP84" s="4"/>
      <c r="AQ84" s="4" t="s">
        <v>1335</v>
      </c>
      <c r="AS84" s="4"/>
      <c r="AT84" s="4"/>
      <c r="AU84" s="4"/>
      <c r="AV84" s="4" t="s">
        <v>108</v>
      </c>
      <c r="AW84" s="4" t="s">
        <v>439</v>
      </c>
    </row>
    <row r="85" spans="1:49" x14ac:dyDescent="0.3">
      <c r="A85" s="4" t="s">
        <v>703</v>
      </c>
      <c r="B85" s="4"/>
      <c r="C85" s="4" t="s">
        <v>1721</v>
      </c>
      <c r="D85" s="4"/>
      <c r="E85" s="4" t="s">
        <v>201</v>
      </c>
      <c r="F85" s="4"/>
      <c r="G85" s="4" t="s">
        <v>1773</v>
      </c>
      <c r="H85" s="4"/>
      <c r="I85" s="4"/>
      <c r="J85" s="4" t="s">
        <v>172</v>
      </c>
      <c r="K85" s="4"/>
      <c r="L85" s="4" t="s">
        <v>489</v>
      </c>
      <c r="M85" s="4"/>
      <c r="N85" s="4"/>
      <c r="O85" s="4"/>
      <c r="P85" s="4"/>
      <c r="Q85" s="4"/>
      <c r="R85" s="4" t="s">
        <v>1448</v>
      </c>
      <c r="S85" s="4" t="s">
        <v>1435</v>
      </c>
      <c r="T85" s="4"/>
      <c r="U85" s="4" t="s">
        <v>215</v>
      </c>
      <c r="V85" s="4"/>
      <c r="W85" s="4"/>
      <c r="X85" s="4"/>
      <c r="Y85" s="4" t="s">
        <v>1774</v>
      </c>
      <c r="Z85" s="4"/>
      <c r="AA85" s="4"/>
      <c r="AB85" s="4"/>
      <c r="AC85" s="4" t="s">
        <v>1775</v>
      </c>
      <c r="AD85" s="4"/>
      <c r="AE85" s="4"/>
      <c r="AF85" s="4"/>
      <c r="AG85" s="4" t="s">
        <v>403</v>
      </c>
      <c r="AH85" s="4"/>
      <c r="AI85" s="4"/>
      <c r="AJ85" s="4"/>
      <c r="AK85" s="4"/>
      <c r="AL85" s="4"/>
      <c r="AM85" s="4" t="s">
        <v>1776</v>
      </c>
      <c r="AN85" s="4"/>
      <c r="AO85" s="4" t="s">
        <v>881</v>
      </c>
      <c r="AP85" s="4"/>
      <c r="AQ85" s="4" t="s">
        <v>507</v>
      </c>
      <c r="AS85" s="4"/>
      <c r="AT85" s="4"/>
      <c r="AU85" s="4"/>
      <c r="AV85" s="4" t="s">
        <v>133</v>
      </c>
      <c r="AW85" s="4" t="s">
        <v>439</v>
      </c>
    </row>
    <row r="86" spans="1:49" x14ac:dyDescent="0.3">
      <c r="A86" s="4" t="s">
        <v>709</v>
      </c>
      <c r="B86" s="4"/>
      <c r="C86" s="4" t="s">
        <v>193</v>
      </c>
      <c r="D86" s="4"/>
      <c r="E86" s="4" t="s">
        <v>305</v>
      </c>
      <c r="F86" s="4"/>
      <c r="G86" s="4" t="s">
        <v>1777</v>
      </c>
      <c r="H86" s="4"/>
      <c r="I86" s="4"/>
      <c r="J86" s="4" t="s">
        <v>284</v>
      </c>
      <c r="K86" s="4"/>
      <c r="L86" s="4" t="s">
        <v>410</v>
      </c>
      <c r="M86" s="4"/>
      <c r="N86" s="4"/>
      <c r="O86" s="4"/>
      <c r="P86" s="4"/>
      <c r="Q86" s="4"/>
      <c r="R86" s="4" t="s">
        <v>823</v>
      </c>
      <c r="S86" s="4" t="s">
        <v>1778</v>
      </c>
      <c r="T86" s="4"/>
      <c r="U86" s="4" t="s">
        <v>245</v>
      </c>
      <c r="V86" s="4"/>
      <c r="W86" s="4"/>
      <c r="X86" s="4"/>
      <c r="Y86" s="4" t="s">
        <v>1779</v>
      </c>
      <c r="Z86" s="4"/>
      <c r="AA86" s="4"/>
      <c r="AB86" s="4"/>
      <c r="AC86" s="4" t="s">
        <v>1780</v>
      </c>
      <c r="AD86" s="4"/>
      <c r="AE86" s="4"/>
      <c r="AF86" s="4"/>
      <c r="AG86" s="4" t="s">
        <v>70</v>
      </c>
      <c r="AH86" s="4"/>
      <c r="AI86" s="4"/>
      <c r="AJ86" s="4"/>
      <c r="AK86" s="4"/>
      <c r="AL86" s="4"/>
      <c r="AM86" s="4" t="s">
        <v>1781</v>
      </c>
      <c r="AN86" s="4"/>
      <c r="AO86" s="4" t="s">
        <v>1726</v>
      </c>
      <c r="AP86" s="4"/>
      <c r="AQ86" s="4" t="s">
        <v>1403</v>
      </c>
      <c r="AS86" s="4"/>
      <c r="AT86" s="4"/>
      <c r="AU86" s="4"/>
      <c r="AV86" s="4" t="s">
        <v>249</v>
      </c>
      <c r="AW86" s="4" t="s">
        <v>439</v>
      </c>
    </row>
    <row r="87" spans="1:49" x14ac:dyDescent="0.3">
      <c r="A87" s="4" t="s">
        <v>718</v>
      </c>
      <c r="B87" s="4"/>
      <c r="C87" s="4" t="s">
        <v>304</v>
      </c>
      <c r="D87" s="4"/>
      <c r="E87" s="4" t="s">
        <v>305</v>
      </c>
      <c r="F87" s="4"/>
      <c r="G87" s="4" t="s">
        <v>1782</v>
      </c>
      <c r="H87" s="4"/>
      <c r="I87" s="4"/>
      <c r="J87" s="4" t="s">
        <v>172</v>
      </c>
      <c r="K87" s="4"/>
      <c r="L87" s="4" t="s">
        <v>489</v>
      </c>
      <c r="M87" s="4"/>
      <c r="N87" s="4"/>
      <c r="O87" s="4"/>
      <c r="P87" s="4"/>
      <c r="Q87" s="4"/>
      <c r="R87" s="4" t="s">
        <v>1129</v>
      </c>
      <c r="S87" s="4" t="s">
        <v>1783</v>
      </c>
      <c r="T87" s="4"/>
      <c r="U87" s="4" t="s">
        <v>117</v>
      </c>
      <c r="V87" s="4"/>
      <c r="W87" s="4"/>
      <c r="X87" s="4"/>
      <c r="Y87" s="4" t="s">
        <v>1697</v>
      </c>
      <c r="Z87" s="4"/>
      <c r="AA87" s="4"/>
      <c r="AB87" s="4"/>
      <c r="AC87" s="4" t="s">
        <v>1784</v>
      </c>
      <c r="AD87" s="4"/>
      <c r="AE87" s="4"/>
      <c r="AF87" s="4"/>
      <c r="AG87" s="4" t="s">
        <v>63</v>
      </c>
      <c r="AH87" s="4"/>
      <c r="AI87" s="4"/>
      <c r="AJ87" s="4"/>
      <c r="AK87" s="4"/>
      <c r="AL87" s="4"/>
      <c r="AM87" s="4" t="s">
        <v>1785</v>
      </c>
      <c r="AN87" s="4"/>
      <c r="AO87" s="4" t="s">
        <v>1393</v>
      </c>
      <c r="AP87" s="4"/>
      <c r="AQ87" s="4" t="s">
        <v>1786</v>
      </c>
      <c r="AS87" s="4"/>
      <c r="AT87" s="4"/>
      <c r="AU87" s="4"/>
      <c r="AV87" s="4" t="s">
        <v>108</v>
      </c>
      <c r="AW87" s="4" t="s">
        <v>263</v>
      </c>
    </row>
    <row r="88" spans="1:49" x14ac:dyDescent="0.3">
      <c r="A88" s="4" t="s">
        <v>726</v>
      </c>
      <c r="B88" s="4"/>
      <c r="C88" s="4" t="s">
        <v>297</v>
      </c>
      <c r="D88" s="4"/>
      <c r="E88" s="4" t="s">
        <v>96</v>
      </c>
      <c r="F88" s="4"/>
      <c r="G88" s="4" t="s">
        <v>1787</v>
      </c>
      <c r="H88" s="4"/>
      <c r="I88" s="4"/>
      <c r="J88" s="4" t="s">
        <v>451</v>
      </c>
      <c r="K88" s="4"/>
      <c r="L88" s="4" t="s">
        <v>370</v>
      </c>
      <c r="M88" s="4"/>
      <c r="N88" s="4"/>
      <c r="O88" s="4"/>
      <c r="P88" s="4"/>
      <c r="Q88" s="4"/>
      <c r="R88" s="4" t="s">
        <v>1788</v>
      </c>
      <c r="S88" s="4" t="s">
        <v>1737</v>
      </c>
      <c r="T88" s="4"/>
      <c r="U88" s="4" t="s">
        <v>1658</v>
      </c>
      <c r="V88" s="4"/>
      <c r="W88" s="4"/>
      <c r="X88" s="4"/>
      <c r="Y88" s="4" t="s">
        <v>1789</v>
      </c>
      <c r="Z88" s="4"/>
      <c r="AA88" s="4"/>
      <c r="AB88" s="4"/>
      <c r="AC88" s="4" t="s">
        <v>663</v>
      </c>
      <c r="AD88" s="4"/>
      <c r="AE88" s="4"/>
      <c r="AF88" s="4"/>
      <c r="AG88" s="4" t="s">
        <v>70</v>
      </c>
      <c r="AH88" s="4"/>
      <c r="AI88" s="4"/>
      <c r="AJ88" s="4"/>
      <c r="AK88" s="4"/>
      <c r="AL88" s="4"/>
      <c r="AM88" s="4" t="s">
        <v>1790</v>
      </c>
      <c r="AN88" s="4"/>
      <c r="AO88" s="4" t="s">
        <v>501</v>
      </c>
      <c r="AP88" s="4"/>
      <c r="AQ88" s="4" t="s">
        <v>1791</v>
      </c>
      <c r="AS88" s="4"/>
      <c r="AT88" s="4"/>
      <c r="AU88" s="4"/>
      <c r="AV88" s="4" t="s">
        <v>121</v>
      </c>
      <c r="AW88" s="4" t="s">
        <v>391</v>
      </c>
    </row>
    <row r="89" spans="1:49" x14ac:dyDescent="0.3">
      <c r="A89" s="4" t="s">
        <v>734</v>
      </c>
      <c r="B89" s="4"/>
      <c r="C89" s="4" t="s">
        <v>1792</v>
      </c>
      <c r="D89" s="4"/>
      <c r="E89" s="4" t="s">
        <v>96</v>
      </c>
      <c r="F89" s="4"/>
      <c r="G89" s="4" t="s">
        <v>1793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 t="s">
        <v>1794</v>
      </c>
      <c r="S89" s="4" t="s">
        <v>1795</v>
      </c>
      <c r="T89" s="4"/>
      <c r="U89" s="4" t="s">
        <v>792</v>
      </c>
      <c r="V89" s="4"/>
      <c r="W89" s="4"/>
      <c r="X89" s="4"/>
      <c r="Y89" s="4" t="s">
        <v>1796</v>
      </c>
      <c r="Z89" s="4"/>
      <c r="AA89" s="4"/>
      <c r="AB89" s="4"/>
      <c r="AC89" s="4" t="s">
        <v>1797</v>
      </c>
      <c r="AD89" s="4"/>
      <c r="AE89" s="4"/>
      <c r="AF89" s="4"/>
      <c r="AG89" s="4" t="s">
        <v>108</v>
      </c>
      <c r="AH89" s="4"/>
      <c r="AI89" s="4"/>
      <c r="AJ89" s="4"/>
      <c r="AK89" s="4"/>
      <c r="AL89" s="4"/>
      <c r="AM89" s="4" t="s">
        <v>1798</v>
      </c>
      <c r="AN89" s="4"/>
      <c r="AO89" s="4" t="s">
        <v>1799</v>
      </c>
      <c r="AP89" s="4"/>
      <c r="AQ89" s="4" t="s">
        <v>225</v>
      </c>
      <c r="AS89" s="4"/>
      <c r="AT89" s="4"/>
      <c r="AU89" s="4"/>
      <c r="AV89" s="4" t="s">
        <v>274</v>
      </c>
      <c r="AW89" s="4" t="s">
        <v>263</v>
      </c>
    </row>
    <row r="90" spans="1:49" x14ac:dyDescent="0.3">
      <c r="A90" s="4" t="s">
        <v>738</v>
      </c>
      <c r="B90" s="4"/>
      <c r="C90" s="4" t="s">
        <v>534</v>
      </c>
      <c r="D90" s="4"/>
      <c r="E90" s="4" t="s">
        <v>535</v>
      </c>
      <c r="F90" s="4"/>
      <c r="G90" s="4" t="s">
        <v>1800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 t="s">
        <v>1310</v>
      </c>
      <c r="S90" s="4" t="s">
        <v>62</v>
      </c>
      <c r="T90" s="4"/>
      <c r="U90" s="4"/>
      <c r="V90" s="4"/>
      <c r="W90" s="4" t="s">
        <v>730</v>
      </c>
      <c r="X90" s="4"/>
      <c r="Y90" s="4"/>
      <c r="Z90" s="4"/>
      <c r="AA90" s="4"/>
      <c r="AB90" s="4" t="s">
        <v>1801</v>
      </c>
      <c r="AC90" s="4"/>
      <c r="AD90" s="4"/>
      <c r="AE90" s="4" t="s">
        <v>1802</v>
      </c>
      <c r="AF90" s="4" t="s">
        <v>133</v>
      </c>
      <c r="AG90" s="4"/>
      <c r="AH90" s="4"/>
      <c r="AI90" s="4"/>
      <c r="AJ90" s="4"/>
      <c r="AK90" s="4"/>
      <c r="AL90" s="4"/>
      <c r="AM90" s="4" t="s">
        <v>1803</v>
      </c>
      <c r="AN90" s="4"/>
      <c r="AO90" s="4" t="s">
        <v>1688</v>
      </c>
      <c r="AP90" s="4"/>
      <c r="AQ90" s="4" t="s">
        <v>1804</v>
      </c>
      <c r="AS90" s="4"/>
      <c r="AT90" s="4"/>
      <c r="AU90" s="4"/>
      <c r="AV90" s="4" t="s">
        <v>107</v>
      </c>
      <c r="AW90" s="4" t="s">
        <v>94</v>
      </c>
    </row>
    <row r="91" spans="1:49" x14ac:dyDescent="0.3">
      <c r="A91" s="4" t="s">
        <v>747</v>
      </c>
      <c r="B91" s="4"/>
      <c r="C91" s="4" t="s">
        <v>535</v>
      </c>
      <c r="D91" s="4"/>
      <c r="E91" s="4" t="s">
        <v>535</v>
      </c>
      <c r="F91" s="4"/>
      <c r="G91" s="4" t="s">
        <v>1805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 t="s">
        <v>449</v>
      </c>
      <c r="S91" s="4" t="s">
        <v>1806</v>
      </c>
      <c r="T91" s="4"/>
      <c r="U91" s="4"/>
      <c r="V91" s="4"/>
      <c r="W91" s="4" t="s">
        <v>832</v>
      </c>
      <c r="X91" s="4"/>
      <c r="Y91" s="4"/>
      <c r="Z91" s="4"/>
      <c r="AA91" s="4"/>
      <c r="AB91" s="4" t="s">
        <v>1807</v>
      </c>
      <c r="AC91" s="4"/>
      <c r="AD91" s="4"/>
      <c r="AE91" s="4" t="s">
        <v>1807</v>
      </c>
      <c r="AF91" s="4" t="s">
        <v>156</v>
      </c>
      <c r="AG91" s="4"/>
      <c r="AH91" s="4"/>
      <c r="AI91" s="4"/>
      <c r="AJ91" s="4"/>
      <c r="AK91" s="4"/>
      <c r="AL91" s="4"/>
      <c r="AM91" s="4" t="s">
        <v>1808</v>
      </c>
      <c r="AN91" s="4"/>
      <c r="AO91" s="4" t="s">
        <v>308</v>
      </c>
      <c r="AP91" s="4"/>
      <c r="AQ91" s="4" t="s">
        <v>308</v>
      </c>
      <c r="AS91" s="4"/>
      <c r="AT91" s="4"/>
      <c r="AU91" s="4"/>
      <c r="AV91" s="4" t="s">
        <v>158</v>
      </c>
      <c r="AW91" s="4" t="s">
        <v>158</v>
      </c>
    </row>
    <row r="92" spans="1:49" x14ac:dyDescent="0.3">
      <c r="A92" s="4" t="s">
        <v>754</v>
      </c>
      <c r="B92" s="4"/>
      <c r="C92" s="4" t="s">
        <v>1234</v>
      </c>
      <c r="D92" s="4"/>
      <c r="E92" s="4" t="s">
        <v>1234</v>
      </c>
      <c r="F92" s="4"/>
      <c r="G92" s="4" t="s">
        <v>1234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 t="s">
        <v>1234</v>
      </c>
      <c r="S92" s="4" t="s">
        <v>1234</v>
      </c>
      <c r="T92" s="4"/>
      <c r="U92" s="4"/>
      <c r="V92" s="4"/>
      <c r="W92" s="4" t="s">
        <v>1234</v>
      </c>
      <c r="X92" s="4"/>
      <c r="Y92" s="4"/>
      <c r="Z92" s="4"/>
      <c r="AA92" s="4"/>
      <c r="AB92" s="4" t="s">
        <v>1234</v>
      </c>
      <c r="AC92" s="4"/>
      <c r="AD92" s="4"/>
      <c r="AE92" s="4" t="s">
        <v>1234</v>
      </c>
      <c r="AF92" s="4" t="s">
        <v>1234</v>
      </c>
      <c r="AG92" s="4"/>
      <c r="AH92" s="4"/>
      <c r="AI92" s="4"/>
      <c r="AJ92" s="4"/>
      <c r="AK92" s="4"/>
      <c r="AL92" s="4"/>
      <c r="AM92" s="4" t="s">
        <v>1234</v>
      </c>
      <c r="AN92" s="4"/>
      <c r="AO92" s="4" t="s">
        <v>1234</v>
      </c>
      <c r="AP92" s="4"/>
      <c r="AQ92" s="4" t="s">
        <v>1234</v>
      </c>
      <c r="AS92" s="4"/>
      <c r="AT92" s="4"/>
      <c r="AU92" s="4"/>
      <c r="AV92" s="4" t="s">
        <v>1234</v>
      </c>
      <c r="AW92" s="4" t="s">
        <v>1234</v>
      </c>
    </row>
    <row r="93" spans="1:49" x14ac:dyDescent="0.3">
      <c r="A93" s="4" t="s">
        <v>762</v>
      </c>
      <c r="B93" s="4"/>
      <c r="C93" s="4" t="s">
        <v>763</v>
      </c>
      <c r="D93" s="4"/>
      <c r="E93" s="4" t="s">
        <v>1809</v>
      </c>
      <c r="F93" s="4"/>
      <c r="G93" s="4" t="s">
        <v>1810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 t="s">
        <v>1811</v>
      </c>
      <c r="S93" s="4" t="s">
        <v>1812</v>
      </c>
      <c r="T93" s="4"/>
      <c r="U93" s="4"/>
      <c r="V93" s="4"/>
      <c r="W93" s="4" t="s">
        <v>1003</v>
      </c>
      <c r="X93" s="4"/>
      <c r="Y93" s="4"/>
      <c r="Z93" s="4"/>
      <c r="AA93" s="4"/>
      <c r="AB93" s="4" t="s">
        <v>1813</v>
      </c>
      <c r="AC93" s="4"/>
      <c r="AD93" s="4"/>
      <c r="AE93" s="4" t="s">
        <v>1814</v>
      </c>
      <c r="AF93" s="4" t="s">
        <v>1815</v>
      </c>
      <c r="AG93" s="4"/>
      <c r="AH93" s="4"/>
      <c r="AI93" s="4"/>
      <c r="AJ93" s="4"/>
      <c r="AK93" s="4"/>
      <c r="AL93" s="4"/>
      <c r="AM93" s="4" t="s">
        <v>1816</v>
      </c>
      <c r="AN93" s="4"/>
      <c r="AO93" s="4" t="s">
        <v>1817</v>
      </c>
      <c r="AP93" s="4"/>
      <c r="AQ93" s="4" t="s">
        <v>482</v>
      </c>
      <c r="AS93" s="4"/>
      <c r="AT93" s="4"/>
      <c r="AU93" s="4"/>
      <c r="AV93" s="4" t="s">
        <v>816</v>
      </c>
      <c r="AW93" s="4" t="s">
        <v>750</v>
      </c>
    </row>
    <row r="94" spans="1:49" x14ac:dyDescent="0.3">
      <c r="A94" s="4" t="s">
        <v>772</v>
      </c>
      <c r="B94" s="4"/>
      <c r="C94" s="4" t="s">
        <v>773</v>
      </c>
      <c r="D94" s="4"/>
      <c r="E94" s="4" t="s">
        <v>403</v>
      </c>
      <c r="F94" s="4"/>
      <c r="G94" s="4" t="s">
        <v>1818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 t="s">
        <v>1819</v>
      </c>
      <c r="S94" s="4" t="s">
        <v>1820</v>
      </c>
      <c r="T94" s="4"/>
      <c r="U94" s="4"/>
      <c r="V94" s="4"/>
      <c r="W94" s="4" t="s">
        <v>167</v>
      </c>
      <c r="X94" s="4"/>
      <c r="Y94" s="4"/>
      <c r="Z94" s="4"/>
      <c r="AA94" s="4"/>
      <c r="AB94" s="4" t="s">
        <v>775</v>
      </c>
      <c r="AC94" s="4"/>
      <c r="AD94" s="4"/>
      <c r="AE94" s="4" t="s">
        <v>776</v>
      </c>
      <c r="AF94" s="4" t="s">
        <v>374</v>
      </c>
      <c r="AG94" s="4"/>
      <c r="AH94" s="4"/>
      <c r="AI94" s="4"/>
      <c r="AJ94" s="4"/>
      <c r="AK94" s="4"/>
      <c r="AL94" s="4"/>
      <c r="AM94" s="4" t="s">
        <v>1379</v>
      </c>
      <c r="AN94" s="4"/>
      <c r="AO94" s="4" t="s">
        <v>777</v>
      </c>
      <c r="AP94" s="4"/>
      <c r="AQ94" s="4" t="s">
        <v>778</v>
      </c>
      <c r="AS94" s="4"/>
      <c r="AT94" s="4"/>
      <c r="AU94" s="4"/>
      <c r="AV94" s="4" t="s">
        <v>79</v>
      </c>
      <c r="AW94" s="4" t="s">
        <v>147</v>
      </c>
    </row>
    <row r="95" spans="1:49" x14ac:dyDescent="0.3">
      <c r="A95" s="4" t="s">
        <v>780</v>
      </c>
      <c r="B95" s="4"/>
      <c r="C95" s="4" t="s">
        <v>1821</v>
      </c>
      <c r="D95" s="4"/>
      <c r="E95" s="4" t="s">
        <v>297</v>
      </c>
      <c r="F95" s="4"/>
      <c r="G95" s="4" t="s">
        <v>1822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 t="s">
        <v>1823</v>
      </c>
      <c r="S95" s="4" t="s">
        <v>1824</v>
      </c>
      <c r="T95" s="4"/>
      <c r="U95" s="4" t="s">
        <v>459</v>
      </c>
      <c r="V95" s="4"/>
      <c r="W95" s="4"/>
      <c r="X95" s="4"/>
      <c r="Y95" s="4" t="s">
        <v>563</v>
      </c>
      <c r="Z95" s="4"/>
      <c r="AA95" s="4"/>
      <c r="AB95" s="4"/>
      <c r="AC95" s="4" t="s">
        <v>1550</v>
      </c>
      <c r="AD95" s="4"/>
      <c r="AE95" s="4"/>
      <c r="AF95" s="4"/>
      <c r="AG95" s="4" t="s">
        <v>117</v>
      </c>
      <c r="AH95" s="4"/>
      <c r="AI95" s="4"/>
      <c r="AJ95" s="4"/>
      <c r="AK95" s="4"/>
      <c r="AL95" s="4"/>
      <c r="AM95" s="4" t="s">
        <v>1825</v>
      </c>
      <c r="AN95" s="4"/>
      <c r="AO95" s="4" t="s">
        <v>251</v>
      </c>
      <c r="AP95" s="4"/>
      <c r="AQ95" s="4" t="s">
        <v>832</v>
      </c>
      <c r="AS95" s="4"/>
      <c r="AT95" s="4"/>
      <c r="AU95" s="4"/>
      <c r="AV95" s="4" t="s">
        <v>172</v>
      </c>
      <c r="AW95" s="4" t="s">
        <v>71</v>
      </c>
    </row>
    <row r="96" spans="1:49" x14ac:dyDescent="0.3">
      <c r="A96" s="4" t="s">
        <v>785</v>
      </c>
      <c r="B96" s="4"/>
      <c r="C96" s="4" t="s">
        <v>727</v>
      </c>
      <c r="D96" s="4"/>
      <c r="E96" s="4" t="s">
        <v>727</v>
      </c>
      <c r="F96" s="4"/>
      <c r="G96" s="4" t="s">
        <v>1826</v>
      </c>
      <c r="H96" s="4"/>
      <c r="I96" s="4"/>
      <c r="J96" s="4" t="s">
        <v>871</v>
      </c>
      <c r="K96" s="4"/>
      <c r="L96" s="4" t="s">
        <v>787</v>
      </c>
      <c r="M96" s="4"/>
      <c r="N96" s="4"/>
      <c r="O96" s="4"/>
      <c r="P96" s="4"/>
      <c r="Q96" s="4"/>
      <c r="R96" s="4" t="s">
        <v>1827</v>
      </c>
      <c r="S96" s="4" t="s">
        <v>1679</v>
      </c>
      <c r="T96" s="4"/>
      <c r="U96" s="4" t="s">
        <v>1828</v>
      </c>
      <c r="V96" s="4"/>
      <c r="W96" s="4"/>
      <c r="X96" s="4"/>
      <c r="Y96" s="4" t="s">
        <v>1086</v>
      </c>
      <c r="Z96" s="4"/>
      <c r="AA96" s="4"/>
      <c r="AB96" s="4"/>
      <c r="AC96" s="4" t="s">
        <v>689</v>
      </c>
      <c r="AD96" s="4"/>
      <c r="AE96" s="4"/>
      <c r="AF96" s="4"/>
      <c r="AG96" s="4" t="s">
        <v>439</v>
      </c>
      <c r="AH96" s="4"/>
      <c r="AI96" s="4"/>
      <c r="AJ96" s="4"/>
      <c r="AK96" s="4"/>
      <c r="AL96" s="4"/>
      <c r="AM96" s="4" t="s">
        <v>1829</v>
      </c>
      <c r="AN96" s="4"/>
      <c r="AO96" s="4" t="s">
        <v>792</v>
      </c>
      <c r="AP96" s="4"/>
      <c r="AQ96" s="4" t="s">
        <v>201</v>
      </c>
      <c r="AS96" s="4"/>
      <c r="AT96" s="4"/>
      <c r="AU96" s="4"/>
      <c r="AV96" s="4" t="s">
        <v>172</v>
      </c>
      <c r="AW96" s="4" t="s">
        <v>147</v>
      </c>
    </row>
    <row r="97" spans="1:49" x14ac:dyDescent="0.3">
      <c r="A97" s="4" t="s">
        <v>791</v>
      </c>
      <c r="B97" s="4"/>
      <c r="C97" s="4" t="s">
        <v>1234</v>
      </c>
      <c r="D97" s="4"/>
      <c r="E97" s="4" t="s">
        <v>1234</v>
      </c>
      <c r="F97" s="4"/>
      <c r="G97" s="4" t="s">
        <v>1234</v>
      </c>
      <c r="H97" s="4"/>
      <c r="I97" s="4"/>
      <c r="J97" s="4" t="s">
        <v>1234</v>
      </c>
      <c r="K97" s="4"/>
      <c r="L97" s="4" t="s">
        <v>1234</v>
      </c>
      <c r="M97" s="4"/>
      <c r="N97" s="4"/>
      <c r="O97" s="4"/>
      <c r="P97" s="4"/>
      <c r="Q97" s="4"/>
      <c r="R97" s="4" t="s">
        <v>1234</v>
      </c>
      <c r="S97" s="4" t="s">
        <v>1234</v>
      </c>
      <c r="T97" s="4"/>
      <c r="U97" s="4" t="s">
        <v>1234</v>
      </c>
      <c r="V97" s="4"/>
      <c r="W97" s="4"/>
      <c r="X97" s="4"/>
      <c r="Y97" s="4" t="s">
        <v>1234</v>
      </c>
      <c r="Z97" s="4"/>
      <c r="AA97" s="4"/>
      <c r="AB97" s="4"/>
      <c r="AC97" s="4" t="s">
        <v>1234</v>
      </c>
      <c r="AD97" s="4"/>
      <c r="AE97" s="4"/>
      <c r="AF97" s="4"/>
      <c r="AG97" s="4" t="s">
        <v>1234</v>
      </c>
      <c r="AH97" s="4"/>
      <c r="AI97" s="4"/>
      <c r="AJ97" s="4"/>
      <c r="AK97" s="4"/>
      <c r="AL97" s="4"/>
      <c r="AM97" s="4" t="s">
        <v>1234</v>
      </c>
      <c r="AN97" s="4"/>
      <c r="AO97" s="4" t="s">
        <v>1234</v>
      </c>
      <c r="AP97" s="4"/>
      <c r="AQ97" s="4" t="s">
        <v>1234</v>
      </c>
      <c r="AS97" s="4"/>
      <c r="AT97" s="4"/>
      <c r="AU97" s="4"/>
      <c r="AV97" s="4" t="s">
        <v>1234</v>
      </c>
      <c r="AW97" s="4" t="s">
        <v>1234</v>
      </c>
    </row>
    <row r="98" spans="1:49" x14ac:dyDescent="0.3">
      <c r="A98" s="4" t="s">
        <v>802</v>
      </c>
      <c r="B98" s="4"/>
      <c r="C98" s="4" t="s">
        <v>377</v>
      </c>
      <c r="D98" s="4"/>
      <c r="E98" s="4" t="s">
        <v>566</v>
      </c>
      <c r="F98" s="4"/>
      <c r="G98" s="4" t="s">
        <v>1830</v>
      </c>
      <c r="H98" s="4"/>
      <c r="I98" s="4"/>
      <c r="J98" s="4" t="s">
        <v>435</v>
      </c>
      <c r="K98" s="4"/>
      <c r="L98" s="4" t="s">
        <v>370</v>
      </c>
      <c r="M98" s="4"/>
      <c r="N98" s="4"/>
      <c r="O98" s="4"/>
      <c r="P98" s="4"/>
      <c r="Q98" s="4"/>
      <c r="R98" s="4" t="s">
        <v>1827</v>
      </c>
      <c r="S98" s="4" t="s">
        <v>1831</v>
      </c>
      <c r="T98" s="4"/>
      <c r="U98" s="4" t="s">
        <v>710</v>
      </c>
      <c r="V98" s="4"/>
      <c r="W98" s="4"/>
      <c r="X98" s="4"/>
      <c r="Y98" s="4" t="s">
        <v>671</v>
      </c>
      <c r="Z98" s="4"/>
      <c r="AA98" s="4"/>
      <c r="AB98" s="4"/>
      <c r="AC98" s="4" t="s">
        <v>1832</v>
      </c>
      <c r="AD98" s="4"/>
      <c r="AE98" s="4"/>
      <c r="AF98" s="4"/>
      <c r="AG98" s="4" t="s">
        <v>70</v>
      </c>
      <c r="AH98" s="4"/>
      <c r="AI98" s="4"/>
      <c r="AJ98" s="4"/>
      <c r="AK98" s="4"/>
      <c r="AL98" s="4"/>
      <c r="AM98" s="4" t="s">
        <v>1833</v>
      </c>
      <c r="AN98" s="4"/>
      <c r="AO98" s="4" t="s">
        <v>249</v>
      </c>
      <c r="AP98" s="4"/>
      <c r="AQ98" s="4" t="s">
        <v>388</v>
      </c>
      <c r="AS98" s="4"/>
      <c r="AT98" s="4"/>
      <c r="AU98" s="4"/>
      <c r="AV98" s="4" t="s">
        <v>228</v>
      </c>
      <c r="AW98" s="4" t="s">
        <v>71</v>
      </c>
    </row>
    <row r="99" spans="1:49" x14ac:dyDescent="0.3">
      <c r="A99" s="4" t="s">
        <v>807</v>
      </c>
      <c r="B99" s="4"/>
      <c r="C99" s="4" t="s">
        <v>554</v>
      </c>
      <c r="D99" s="4"/>
      <c r="E99" s="4" t="s">
        <v>297</v>
      </c>
      <c r="F99" s="4"/>
      <c r="G99" s="4" t="s">
        <v>1834</v>
      </c>
      <c r="H99" s="4"/>
      <c r="I99" s="4"/>
      <c r="J99" s="4" t="s">
        <v>419</v>
      </c>
      <c r="K99" s="4"/>
      <c r="L99" s="4" t="s">
        <v>125</v>
      </c>
      <c r="M99" s="4"/>
      <c r="N99" s="4"/>
      <c r="O99" s="4"/>
      <c r="P99" s="4"/>
      <c r="Q99" s="4"/>
      <c r="R99" s="4" t="s">
        <v>763</v>
      </c>
      <c r="S99" s="4" t="s">
        <v>1835</v>
      </c>
      <c r="T99" s="4"/>
      <c r="U99" s="4" t="s">
        <v>460</v>
      </c>
      <c r="V99" s="4"/>
      <c r="W99" s="4"/>
      <c r="X99" s="4"/>
      <c r="Y99" s="4" t="s">
        <v>775</v>
      </c>
      <c r="Z99" s="4"/>
      <c r="AA99" s="4"/>
      <c r="AB99" s="4"/>
      <c r="AC99" s="4" t="s">
        <v>1836</v>
      </c>
      <c r="AD99" s="4"/>
      <c r="AE99" s="4"/>
      <c r="AF99" s="4"/>
      <c r="AG99" s="4" t="s">
        <v>107</v>
      </c>
      <c r="AH99" s="4"/>
      <c r="AI99" s="4"/>
      <c r="AJ99" s="4"/>
      <c r="AK99" s="4"/>
      <c r="AL99" s="4"/>
      <c r="AM99" s="4" t="s">
        <v>1837</v>
      </c>
      <c r="AN99" s="4"/>
      <c r="AO99" s="4" t="s">
        <v>446</v>
      </c>
      <c r="AP99" s="4"/>
      <c r="AQ99" s="4" t="s">
        <v>810</v>
      </c>
      <c r="AS99" s="4"/>
      <c r="AT99" s="4"/>
      <c r="AU99" s="4"/>
      <c r="AV99" s="4" t="s">
        <v>228</v>
      </c>
      <c r="AW99" s="4" t="s">
        <v>60</v>
      </c>
    </row>
    <row r="100" spans="1:49" x14ac:dyDescent="0.3">
      <c r="A100" s="4" t="s">
        <v>812</v>
      </c>
      <c r="B100" s="4"/>
      <c r="C100" s="4" t="s">
        <v>535</v>
      </c>
      <c r="D100" s="4"/>
      <c r="E100" s="4" t="s">
        <v>377</v>
      </c>
      <c r="F100" s="4"/>
      <c r="G100" s="4" t="s">
        <v>1838</v>
      </c>
      <c r="H100" s="4"/>
      <c r="I100" s="4"/>
      <c r="J100" s="4" t="s">
        <v>814</v>
      </c>
      <c r="K100" s="4"/>
      <c r="L100" s="4" t="s">
        <v>815</v>
      </c>
      <c r="M100" s="4"/>
      <c r="N100" s="4"/>
      <c r="O100" s="4"/>
      <c r="P100" s="4"/>
      <c r="Q100" s="4"/>
      <c r="R100" s="4" t="s">
        <v>1839</v>
      </c>
      <c r="S100" s="4" t="s">
        <v>1840</v>
      </c>
      <c r="T100" s="4"/>
      <c r="U100" s="4" t="s">
        <v>304</v>
      </c>
      <c r="V100" s="4"/>
      <c r="W100" s="4"/>
      <c r="X100" s="4"/>
      <c r="Y100" s="4" t="s">
        <v>1841</v>
      </c>
      <c r="Z100" s="4"/>
      <c r="AA100" s="4"/>
      <c r="AB100" s="4"/>
      <c r="AC100" s="4" t="s">
        <v>1842</v>
      </c>
      <c r="AD100" s="4"/>
      <c r="AE100" s="4"/>
      <c r="AF100" s="4"/>
      <c r="AG100" s="4" t="s">
        <v>121</v>
      </c>
      <c r="AH100" s="4"/>
      <c r="AI100" s="4"/>
      <c r="AJ100" s="4"/>
      <c r="AK100" s="4"/>
      <c r="AL100" s="4"/>
      <c r="AM100" s="4" t="s">
        <v>1843</v>
      </c>
      <c r="AN100" s="4"/>
      <c r="AO100" s="4" t="s">
        <v>439</v>
      </c>
      <c r="AP100" s="4"/>
      <c r="AQ100" s="4" t="s">
        <v>155</v>
      </c>
      <c r="AS100" s="4"/>
      <c r="AT100" s="4"/>
      <c r="AU100" s="4"/>
      <c r="AV100" s="4" t="s">
        <v>228</v>
      </c>
      <c r="AW100" s="4" t="s">
        <v>274</v>
      </c>
    </row>
    <row r="101" spans="1:49" x14ac:dyDescent="0.3">
      <c r="A101" s="4" t="s">
        <v>820</v>
      </c>
      <c r="B101" s="4"/>
      <c r="C101" s="4" t="s">
        <v>821</v>
      </c>
      <c r="D101" s="4"/>
      <c r="E101" s="4" t="s">
        <v>305</v>
      </c>
      <c r="F101" s="4"/>
      <c r="G101" s="4" t="s">
        <v>1844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 t="s">
        <v>763</v>
      </c>
      <c r="S101" s="4" t="s">
        <v>1845</v>
      </c>
      <c r="T101" s="4"/>
      <c r="U101" s="4" t="s">
        <v>724</v>
      </c>
      <c r="V101" s="4"/>
      <c r="W101" s="4"/>
      <c r="X101" s="4"/>
      <c r="Y101" s="4" t="s">
        <v>824</v>
      </c>
      <c r="Z101" s="4"/>
      <c r="AA101" s="4"/>
      <c r="AB101" s="4"/>
      <c r="AC101" s="4" t="s">
        <v>825</v>
      </c>
      <c r="AD101" s="4"/>
      <c r="AE101" s="4"/>
      <c r="AF101" s="4"/>
      <c r="AG101" s="4" t="s">
        <v>134</v>
      </c>
      <c r="AH101" s="4"/>
      <c r="AI101" s="4"/>
      <c r="AJ101" s="4"/>
      <c r="AK101" s="4"/>
      <c r="AL101" s="4"/>
      <c r="AM101" s="4" t="s">
        <v>1846</v>
      </c>
      <c r="AN101" s="4"/>
      <c r="AO101" s="4" t="s">
        <v>445</v>
      </c>
      <c r="AP101" s="4"/>
      <c r="AQ101" s="4" t="s">
        <v>163</v>
      </c>
      <c r="AS101" s="4"/>
      <c r="AT101" s="4"/>
      <c r="AU101" s="4"/>
      <c r="AV101" s="4" t="s">
        <v>228</v>
      </c>
      <c r="AW101" s="4" t="s">
        <v>134</v>
      </c>
    </row>
    <row r="102" spans="1:49" x14ac:dyDescent="0.3">
      <c r="A102" s="4" t="s">
        <v>827</v>
      </c>
      <c r="B102" s="4"/>
      <c r="C102" s="4" t="s">
        <v>1847</v>
      </c>
      <c r="D102" s="4"/>
      <c r="E102" s="4" t="s">
        <v>460</v>
      </c>
      <c r="F102" s="4"/>
      <c r="G102" s="4" t="s">
        <v>1848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 t="s">
        <v>1849</v>
      </c>
      <c r="S102" s="4" t="s">
        <v>1850</v>
      </c>
      <c r="T102" s="4"/>
      <c r="U102" s="4"/>
      <c r="V102" s="4"/>
      <c r="W102" s="4" t="s">
        <v>844</v>
      </c>
      <c r="X102" s="4"/>
      <c r="Y102" s="4"/>
      <c r="Z102" s="4"/>
      <c r="AA102" s="4"/>
      <c r="AB102" s="4" t="s">
        <v>939</v>
      </c>
      <c r="AC102" s="4"/>
      <c r="AD102" s="4"/>
      <c r="AE102" s="4" t="s">
        <v>999</v>
      </c>
      <c r="AF102" s="4" t="s">
        <v>263</v>
      </c>
      <c r="AG102" s="4"/>
      <c r="AH102" s="4"/>
      <c r="AI102" s="4"/>
      <c r="AJ102" s="4"/>
      <c r="AK102" s="4"/>
      <c r="AL102" s="4"/>
      <c r="AM102" s="4" t="s">
        <v>1851</v>
      </c>
      <c r="AN102" s="4"/>
      <c r="AO102" s="4" t="s">
        <v>215</v>
      </c>
      <c r="AP102" s="4"/>
      <c r="AQ102" s="4" t="s">
        <v>1033</v>
      </c>
      <c r="AS102" s="4"/>
      <c r="AT102" s="4"/>
      <c r="AU102" s="4"/>
      <c r="AV102" s="4" t="s">
        <v>70</v>
      </c>
      <c r="AW102" s="4" t="s">
        <v>134</v>
      </c>
    </row>
    <row r="103" spans="1:49" x14ac:dyDescent="0.3">
      <c r="A103" s="4" t="s">
        <v>835</v>
      </c>
      <c r="B103" s="4"/>
      <c r="C103" s="4" t="s">
        <v>1852</v>
      </c>
      <c r="D103" s="4"/>
      <c r="E103" s="4" t="s">
        <v>160</v>
      </c>
      <c r="F103" s="4"/>
      <c r="G103" s="4" t="s">
        <v>1853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 t="s">
        <v>1854</v>
      </c>
      <c r="S103" s="4" t="s">
        <v>1855</v>
      </c>
      <c r="T103" s="4"/>
      <c r="U103" s="4"/>
      <c r="V103" s="4"/>
      <c r="W103" s="4" t="s">
        <v>1103</v>
      </c>
      <c r="X103" s="4"/>
      <c r="Y103" s="4"/>
      <c r="Z103" s="4"/>
      <c r="AA103" s="4"/>
      <c r="AB103" s="4" t="s">
        <v>705</v>
      </c>
      <c r="AC103" s="4"/>
      <c r="AD103" s="4"/>
      <c r="AE103" s="4" t="s">
        <v>1856</v>
      </c>
      <c r="AF103" s="4" t="s">
        <v>134</v>
      </c>
      <c r="AG103" s="4"/>
      <c r="AH103" s="4"/>
      <c r="AI103" s="4"/>
      <c r="AJ103" s="4"/>
      <c r="AK103" s="4"/>
      <c r="AL103" s="4"/>
      <c r="AM103" s="4" t="s">
        <v>1857</v>
      </c>
      <c r="AN103" s="4"/>
      <c r="AO103" s="4" t="s">
        <v>97</v>
      </c>
      <c r="AP103" s="4"/>
      <c r="AQ103" s="4" t="s">
        <v>486</v>
      </c>
      <c r="AS103" s="4"/>
      <c r="AT103" s="4"/>
      <c r="AU103" s="4"/>
      <c r="AV103" s="4" t="s">
        <v>70</v>
      </c>
      <c r="AW103" s="4" t="s">
        <v>147</v>
      </c>
    </row>
    <row r="104" spans="1:49" x14ac:dyDescent="0.3">
      <c r="A104" s="4" t="s">
        <v>839</v>
      </c>
      <c r="B104" s="4"/>
      <c r="C104" s="4" t="s">
        <v>687</v>
      </c>
      <c r="D104" s="4"/>
      <c r="E104" s="4" t="s">
        <v>524</v>
      </c>
      <c r="F104" s="4"/>
      <c r="G104" s="4" t="s">
        <v>1858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 t="s">
        <v>1859</v>
      </c>
      <c r="S104" s="4" t="s">
        <v>1860</v>
      </c>
      <c r="T104" s="4"/>
      <c r="U104" s="4"/>
      <c r="V104" s="4"/>
      <c r="W104" s="4" t="s">
        <v>488</v>
      </c>
      <c r="X104" s="4"/>
      <c r="Y104" s="4"/>
      <c r="Z104" s="4"/>
      <c r="AA104" s="4"/>
      <c r="AB104" s="4" t="s">
        <v>648</v>
      </c>
      <c r="AC104" s="4"/>
      <c r="AD104" s="4"/>
      <c r="AE104" s="4" t="s">
        <v>611</v>
      </c>
      <c r="AF104" s="4" t="s">
        <v>66</v>
      </c>
      <c r="AG104" s="4"/>
      <c r="AH104" s="4"/>
      <c r="AI104" s="4"/>
      <c r="AJ104" s="4"/>
      <c r="AK104" s="4"/>
      <c r="AL104" s="4"/>
      <c r="AM104" s="4" t="s">
        <v>1861</v>
      </c>
      <c r="AN104" s="4"/>
      <c r="AO104" s="4" t="s">
        <v>194</v>
      </c>
      <c r="AP104" s="4"/>
      <c r="AQ104" s="4" t="s">
        <v>284</v>
      </c>
      <c r="AS104" s="4"/>
      <c r="AT104" s="4"/>
      <c r="AU104" s="4"/>
      <c r="AV104" s="4" t="s">
        <v>70</v>
      </c>
      <c r="AW104" s="4" t="s">
        <v>147</v>
      </c>
    </row>
    <row r="105" spans="1:49" x14ac:dyDescent="0.3">
      <c r="A105" s="4" t="s">
        <v>846</v>
      </c>
      <c r="B105" s="4"/>
      <c r="C105" s="4" t="s">
        <v>1862</v>
      </c>
      <c r="D105" s="4"/>
      <c r="E105" s="4" t="s">
        <v>727</v>
      </c>
      <c r="F105" s="4"/>
      <c r="G105" s="4" t="s">
        <v>1863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 t="s">
        <v>449</v>
      </c>
      <c r="S105" s="4" t="s">
        <v>1824</v>
      </c>
      <c r="T105" s="4"/>
      <c r="U105" s="4"/>
      <c r="V105" s="4"/>
      <c r="W105" s="4" t="s">
        <v>1093</v>
      </c>
      <c r="X105" s="4"/>
      <c r="Y105" s="4"/>
      <c r="Z105" s="4"/>
      <c r="AA105" s="4"/>
      <c r="AB105" s="4" t="s">
        <v>1864</v>
      </c>
      <c r="AC105" s="4"/>
      <c r="AD105" s="4"/>
      <c r="AE105" s="4" t="s">
        <v>1865</v>
      </c>
      <c r="AF105" s="4" t="s">
        <v>66</v>
      </c>
      <c r="AG105" s="4"/>
      <c r="AH105" s="4"/>
      <c r="AI105" s="4"/>
      <c r="AJ105" s="4"/>
      <c r="AK105" s="4"/>
      <c r="AL105" s="4"/>
      <c r="AM105" s="4" t="s">
        <v>1866</v>
      </c>
      <c r="AN105" s="4"/>
      <c r="AO105" s="4" t="s">
        <v>367</v>
      </c>
      <c r="AP105" s="4"/>
      <c r="AQ105" s="4" t="s">
        <v>297</v>
      </c>
      <c r="AS105" s="4"/>
      <c r="AT105" s="4"/>
      <c r="AU105" s="4"/>
      <c r="AV105" s="4" t="s">
        <v>59</v>
      </c>
      <c r="AW105" s="4" t="s">
        <v>158</v>
      </c>
    </row>
    <row r="106" spans="1:49" x14ac:dyDescent="0.3">
      <c r="A106" s="4" t="s">
        <v>852</v>
      </c>
      <c r="B106" s="4"/>
      <c r="C106" s="4" t="s">
        <v>1867</v>
      </c>
      <c r="D106" s="4"/>
      <c r="E106" s="4" t="s">
        <v>727</v>
      </c>
      <c r="F106" s="4"/>
      <c r="G106" s="4" t="s">
        <v>1868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 t="s">
        <v>1839</v>
      </c>
      <c r="S106" s="4" t="s">
        <v>1869</v>
      </c>
      <c r="T106" s="4"/>
      <c r="U106" s="4"/>
      <c r="V106" s="4"/>
      <c r="W106" s="4" t="s">
        <v>1093</v>
      </c>
      <c r="X106" s="4"/>
      <c r="Y106" s="4"/>
      <c r="Z106" s="4"/>
      <c r="AA106" s="4"/>
      <c r="AB106" s="4" t="s">
        <v>1864</v>
      </c>
      <c r="AC106" s="4"/>
      <c r="AD106" s="4"/>
      <c r="AE106" s="4" t="s">
        <v>843</v>
      </c>
      <c r="AF106" s="4" t="s">
        <v>121</v>
      </c>
      <c r="AG106" s="4"/>
      <c r="AH106" s="4"/>
      <c r="AI106" s="4"/>
      <c r="AJ106" s="4"/>
      <c r="AK106" s="4"/>
      <c r="AL106" s="4"/>
      <c r="AM106" s="4" t="s">
        <v>1870</v>
      </c>
      <c r="AN106" s="4"/>
      <c r="AO106" s="4" t="s">
        <v>1721</v>
      </c>
      <c r="AP106" s="4"/>
      <c r="AQ106" s="4" t="s">
        <v>460</v>
      </c>
      <c r="AS106" s="4"/>
      <c r="AT106" s="4"/>
      <c r="AU106" s="4"/>
      <c r="AV106" s="4" t="s">
        <v>172</v>
      </c>
      <c r="AW106" s="4" t="s">
        <v>147</v>
      </c>
    </row>
    <row r="107" spans="1:49" x14ac:dyDescent="0.3">
      <c r="A107" s="4" t="s">
        <v>856</v>
      </c>
      <c r="B107" s="4"/>
      <c r="C107" s="4" t="s">
        <v>1871</v>
      </c>
      <c r="D107" s="4"/>
      <c r="E107" s="4" t="s">
        <v>516</v>
      </c>
      <c r="F107" s="4"/>
      <c r="G107" s="4" t="s">
        <v>1872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 t="s">
        <v>1873</v>
      </c>
      <c r="S107" s="4" t="s">
        <v>1874</v>
      </c>
      <c r="T107" s="4"/>
      <c r="U107" s="4" t="s">
        <v>1828</v>
      </c>
      <c r="V107" s="4"/>
      <c r="W107" s="4"/>
      <c r="X107" s="4"/>
      <c r="Y107" s="4" t="s">
        <v>849</v>
      </c>
      <c r="Z107" s="4"/>
      <c r="AA107" s="4"/>
      <c r="AB107" s="4"/>
      <c r="AC107" s="4" t="s">
        <v>663</v>
      </c>
      <c r="AD107" s="4"/>
      <c r="AE107" s="4"/>
      <c r="AF107" s="4"/>
      <c r="AG107" s="4" t="s">
        <v>121</v>
      </c>
      <c r="AH107" s="4"/>
      <c r="AI107" s="4"/>
      <c r="AJ107" s="4"/>
      <c r="AK107" s="4"/>
      <c r="AL107" s="4"/>
      <c r="AM107" s="4" t="s">
        <v>154</v>
      </c>
      <c r="AN107" s="4"/>
      <c r="AO107" s="4" t="s">
        <v>194</v>
      </c>
      <c r="AP107" s="4"/>
      <c r="AQ107" s="4" t="s">
        <v>97</v>
      </c>
      <c r="AS107" s="4"/>
      <c r="AT107" s="4"/>
      <c r="AU107" s="4"/>
      <c r="AV107" s="4" t="s">
        <v>172</v>
      </c>
      <c r="AW107" s="4" t="s">
        <v>71</v>
      </c>
    </row>
    <row r="108" spans="1:49" x14ac:dyDescent="0.3">
      <c r="A108" s="4" t="s">
        <v>860</v>
      </c>
      <c r="B108" s="4"/>
      <c r="C108" s="4" t="s">
        <v>698</v>
      </c>
      <c r="D108" s="4"/>
      <c r="E108" s="4" t="s">
        <v>698</v>
      </c>
      <c r="F108" s="4"/>
      <c r="G108" s="4" t="s">
        <v>1573</v>
      </c>
      <c r="H108" s="4"/>
      <c r="I108" s="4"/>
      <c r="J108" s="4" t="s">
        <v>160</v>
      </c>
      <c r="K108" s="4"/>
      <c r="L108" s="4" t="s">
        <v>160</v>
      </c>
      <c r="M108" s="4"/>
      <c r="N108" s="4"/>
      <c r="O108" s="4"/>
      <c r="P108" s="4"/>
      <c r="Q108" s="4"/>
      <c r="R108" s="4" t="s">
        <v>643</v>
      </c>
      <c r="S108" s="4" t="s">
        <v>1875</v>
      </c>
      <c r="T108" s="4"/>
      <c r="U108" s="4" t="s">
        <v>531</v>
      </c>
      <c r="V108" s="4"/>
      <c r="W108" s="4"/>
      <c r="X108" s="4"/>
      <c r="Y108" s="4" t="s">
        <v>1876</v>
      </c>
      <c r="Z108" s="4"/>
      <c r="AA108" s="4"/>
      <c r="AB108" s="4"/>
      <c r="AC108" s="4" t="s">
        <v>1876</v>
      </c>
      <c r="AD108" s="4"/>
      <c r="AE108" s="4"/>
      <c r="AF108" s="4"/>
      <c r="AG108" s="4" t="s">
        <v>121</v>
      </c>
      <c r="AH108" s="4"/>
      <c r="AI108" s="4"/>
      <c r="AJ108" s="4"/>
      <c r="AK108" s="4"/>
      <c r="AL108" s="4"/>
      <c r="AM108" s="4" t="s">
        <v>1877</v>
      </c>
      <c r="AN108" s="4"/>
      <c r="AO108" s="4" t="s">
        <v>439</v>
      </c>
      <c r="AP108" s="4"/>
      <c r="AQ108" s="4" t="s">
        <v>439</v>
      </c>
      <c r="AS108" s="4"/>
      <c r="AT108" s="4"/>
      <c r="AU108" s="4"/>
      <c r="AV108" s="4" t="s">
        <v>172</v>
      </c>
      <c r="AW108" s="4" t="s">
        <v>133</v>
      </c>
    </row>
    <row r="109" spans="1:49" x14ac:dyDescent="0.3">
      <c r="A109" s="4" t="s">
        <v>864</v>
      </c>
      <c r="B109" s="4"/>
      <c r="C109" s="4" t="s">
        <v>1234</v>
      </c>
      <c r="D109" s="4"/>
      <c r="E109" s="4" t="s">
        <v>1234</v>
      </c>
      <c r="F109" s="4"/>
      <c r="G109" s="4" t="s">
        <v>1234</v>
      </c>
      <c r="H109" s="4"/>
      <c r="I109" s="4"/>
      <c r="J109" s="4" t="s">
        <v>1234</v>
      </c>
      <c r="K109" s="4"/>
      <c r="L109" s="4" t="s">
        <v>1234</v>
      </c>
      <c r="M109" s="4"/>
      <c r="N109" s="4"/>
      <c r="O109" s="4"/>
      <c r="P109" s="4"/>
      <c r="Q109" s="4"/>
      <c r="R109" s="4" t="s">
        <v>1234</v>
      </c>
      <c r="S109" s="4" t="s">
        <v>1234</v>
      </c>
      <c r="T109" s="4"/>
      <c r="U109" s="4" t="s">
        <v>1234</v>
      </c>
      <c r="V109" s="4"/>
      <c r="W109" s="4"/>
      <c r="X109" s="4"/>
      <c r="Y109" s="4" t="s">
        <v>1234</v>
      </c>
      <c r="Z109" s="4"/>
      <c r="AA109" s="4"/>
      <c r="AB109" s="4"/>
      <c r="AC109" s="4" t="s">
        <v>1234</v>
      </c>
      <c r="AD109" s="4"/>
      <c r="AE109" s="4"/>
      <c r="AF109" s="4"/>
      <c r="AG109" s="4" t="s">
        <v>1234</v>
      </c>
      <c r="AH109" s="4"/>
      <c r="AI109" s="4"/>
      <c r="AJ109" s="4"/>
      <c r="AK109" s="4"/>
      <c r="AL109" s="4"/>
      <c r="AM109" s="4" t="s">
        <v>1234</v>
      </c>
      <c r="AN109" s="4"/>
      <c r="AO109" s="4" t="s">
        <v>1234</v>
      </c>
      <c r="AP109" s="4"/>
      <c r="AQ109" s="4" t="s">
        <v>1234</v>
      </c>
      <c r="AS109" s="4"/>
      <c r="AT109" s="4"/>
      <c r="AU109" s="4"/>
      <c r="AV109" s="4" t="s">
        <v>1234</v>
      </c>
      <c r="AW109" s="4" t="s">
        <v>1234</v>
      </c>
    </row>
    <row r="110" spans="1:49" x14ac:dyDescent="0.3">
      <c r="A110" s="4" t="s">
        <v>869</v>
      </c>
      <c r="B110" s="4"/>
      <c r="C110" s="4" t="s">
        <v>534</v>
      </c>
      <c r="D110" s="4"/>
      <c r="E110" s="4" t="s">
        <v>535</v>
      </c>
      <c r="F110" s="4"/>
      <c r="G110" s="4" t="s">
        <v>1872</v>
      </c>
      <c r="H110" s="4"/>
      <c r="I110" s="4"/>
      <c r="J110" s="4" t="s">
        <v>729</v>
      </c>
      <c r="K110" s="4"/>
      <c r="L110" s="4" t="s">
        <v>327</v>
      </c>
      <c r="M110" s="4"/>
      <c r="N110" s="4"/>
      <c r="O110" s="4"/>
      <c r="P110" s="4"/>
      <c r="Q110" s="4"/>
      <c r="R110" s="4" t="s">
        <v>1878</v>
      </c>
      <c r="S110" s="4" t="s">
        <v>1879</v>
      </c>
      <c r="T110" s="4"/>
      <c r="U110" s="4" t="s">
        <v>107</v>
      </c>
      <c r="V110" s="4"/>
      <c r="W110" s="4"/>
      <c r="X110" s="4"/>
      <c r="Y110" s="4" t="s">
        <v>1880</v>
      </c>
      <c r="Z110" s="4"/>
      <c r="AA110" s="4"/>
      <c r="AB110" s="4"/>
      <c r="AC110" s="4" t="s">
        <v>872</v>
      </c>
      <c r="AD110" s="4"/>
      <c r="AE110" s="4"/>
      <c r="AF110" s="4"/>
      <c r="AG110" s="4" t="s">
        <v>90</v>
      </c>
      <c r="AH110" s="4"/>
      <c r="AI110" s="4"/>
      <c r="AJ110" s="4"/>
      <c r="AK110" s="4"/>
      <c r="AL110" s="4"/>
      <c r="AM110" s="4" t="s">
        <v>1881</v>
      </c>
      <c r="AN110" s="4"/>
      <c r="AO110" s="4" t="s">
        <v>167</v>
      </c>
      <c r="AP110" s="4"/>
      <c r="AQ110" s="4" t="s">
        <v>79</v>
      </c>
      <c r="AS110" s="4"/>
      <c r="AT110" s="4"/>
      <c r="AU110" s="4"/>
      <c r="AV110" s="4" t="s">
        <v>70</v>
      </c>
      <c r="AW110" s="4" t="s">
        <v>107</v>
      </c>
    </row>
    <row r="111" spans="1:49" x14ac:dyDescent="0.3">
      <c r="A111" s="4" t="s">
        <v>875</v>
      </c>
      <c r="B111" s="4"/>
      <c r="C111" s="4" t="s">
        <v>377</v>
      </c>
      <c r="D111" s="4"/>
      <c r="E111" s="4" t="s">
        <v>744</v>
      </c>
      <c r="F111" s="4"/>
      <c r="G111" s="4" t="s">
        <v>1882</v>
      </c>
      <c r="H111" s="4"/>
      <c r="I111" s="4"/>
      <c r="J111" s="4" t="s">
        <v>443</v>
      </c>
      <c r="K111" s="4"/>
      <c r="L111" s="4" t="s">
        <v>877</v>
      </c>
      <c r="M111" s="4"/>
      <c r="N111" s="4"/>
      <c r="O111" s="4"/>
      <c r="P111" s="4"/>
      <c r="Q111" s="4"/>
      <c r="R111" s="4" t="s">
        <v>1827</v>
      </c>
      <c r="S111" s="4" t="s">
        <v>1883</v>
      </c>
      <c r="T111" s="4"/>
      <c r="U111" s="4" t="s">
        <v>121</v>
      </c>
      <c r="V111" s="4"/>
      <c r="W111" s="4"/>
      <c r="X111" s="4"/>
      <c r="Y111" s="4" t="s">
        <v>380</v>
      </c>
      <c r="Z111" s="4"/>
      <c r="AA111" s="4"/>
      <c r="AB111" s="4"/>
      <c r="AC111" s="4" t="s">
        <v>878</v>
      </c>
      <c r="AD111" s="4"/>
      <c r="AE111" s="4"/>
      <c r="AF111" s="4"/>
      <c r="AG111" s="4" t="s">
        <v>79</v>
      </c>
      <c r="AH111" s="4"/>
      <c r="AI111" s="4"/>
      <c r="AJ111" s="4"/>
      <c r="AK111" s="4"/>
      <c r="AL111" s="4"/>
      <c r="AM111" s="4" t="s">
        <v>1884</v>
      </c>
      <c r="AN111" s="4"/>
      <c r="AO111" s="4" t="s">
        <v>880</v>
      </c>
      <c r="AP111" s="4"/>
      <c r="AQ111" s="4" t="s">
        <v>881</v>
      </c>
      <c r="AS111" s="4"/>
      <c r="AT111" s="4"/>
      <c r="AU111" s="4"/>
      <c r="AV111" s="4" t="s">
        <v>228</v>
      </c>
      <c r="AW111" s="4" t="s">
        <v>133</v>
      </c>
    </row>
    <row r="112" spans="1:49" x14ac:dyDescent="0.3">
      <c r="A112" s="4" t="s">
        <v>883</v>
      </c>
      <c r="B112" s="4"/>
      <c r="C112" s="4" t="s">
        <v>727</v>
      </c>
      <c r="D112" s="4"/>
      <c r="E112" s="4" t="s">
        <v>534</v>
      </c>
      <c r="F112" s="4"/>
      <c r="G112" s="4" t="s">
        <v>1885</v>
      </c>
      <c r="H112" s="4"/>
      <c r="I112" s="4"/>
      <c r="J112" s="4" t="s">
        <v>445</v>
      </c>
      <c r="K112" s="4"/>
      <c r="L112" s="4" t="s">
        <v>435</v>
      </c>
      <c r="M112" s="4"/>
      <c r="N112" s="4"/>
      <c r="O112" s="4"/>
      <c r="P112" s="4"/>
      <c r="Q112" s="4"/>
      <c r="R112" s="4" t="s">
        <v>1886</v>
      </c>
      <c r="S112" s="4" t="s">
        <v>1887</v>
      </c>
      <c r="T112" s="4"/>
      <c r="U112" s="4" t="s">
        <v>524</v>
      </c>
      <c r="V112" s="4"/>
      <c r="W112" s="4"/>
      <c r="X112" s="4"/>
      <c r="Y112" s="4" t="s">
        <v>885</v>
      </c>
      <c r="Z112" s="4"/>
      <c r="AA112" s="4"/>
      <c r="AB112" s="4"/>
      <c r="AC112" s="4" t="s">
        <v>886</v>
      </c>
      <c r="AD112" s="4"/>
      <c r="AE112" s="4"/>
      <c r="AF112" s="4"/>
      <c r="AG112" s="4" t="s">
        <v>90</v>
      </c>
      <c r="AH112" s="4"/>
      <c r="AI112" s="4"/>
      <c r="AJ112" s="4"/>
      <c r="AK112" s="4"/>
      <c r="AL112" s="4"/>
      <c r="AM112" s="4" t="s">
        <v>1888</v>
      </c>
      <c r="AN112" s="4"/>
      <c r="AO112" s="4" t="s">
        <v>887</v>
      </c>
      <c r="AP112" s="4"/>
      <c r="AQ112" s="4" t="s">
        <v>541</v>
      </c>
      <c r="AS112" s="4"/>
      <c r="AT112" s="4"/>
      <c r="AU112" s="4"/>
      <c r="AV112" s="4" t="s">
        <v>70</v>
      </c>
      <c r="AW112" s="4" t="s">
        <v>107</v>
      </c>
    </row>
    <row r="113" spans="1:49" x14ac:dyDescent="0.3">
      <c r="A113" s="4" t="s">
        <v>888</v>
      </c>
      <c r="B113" s="4"/>
      <c r="C113" s="4" t="s">
        <v>889</v>
      </c>
      <c r="D113" s="4"/>
      <c r="E113" s="4" t="s">
        <v>661</v>
      </c>
      <c r="F113" s="4"/>
      <c r="G113" s="4" t="s">
        <v>1889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 t="s">
        <v>1890</v>
      </c>
      <c r="S113" s="4" t="s">
        <v>1669</v>
      </c>
      <c r="T113" s="4"/>
      <c r="U113" s="4" t="s">
        <v>1891</v>
      </c>
      <c r="V113" s="4"/>
      <c r="W113" s="4"/>
      <c r="X113" s="4"/>
      <c r="Y113" s="4" t="s">
        <v>1892</v>
      </c>
      <c r="Z113" s="4"/>
      <c r="AA113" s="4"/>
      <c r="AB113" s="4"/>
      <c r="AC113" s="4" t="s">
        <v>892</v>
      </c>
      <c r="AD113" s="4"/>
      <c r="AE113" s="4"/>
      <c r="AF113" s="4"/>
      <c r="AG113" s="4" t="s">
        <v>55</v>
      </c>
      <c r="AH113" s="4"/>
      <c r="AI113" s="4"/>
      <c r="AJ113" s="4"/>
      <c r="AK113" s="4"/>
      <c r="AL113" s="4"/>
      <c r="AM113" s="4" t="s">
        <v>1893</v>
      </c>
      <c r="AN113" s="4"/>
      <c r="AO113" s="4" t="s">
        <v>194</v>
      </c>
      <c r="AP113" s="4"/>
      <c r="AQ113" s="4" t="s">
        <v>136</v>
      </c>
      <c r="AS113" s="4"/>
      <c r="AT113" s="4"/>
      <c r="AU113" s="4"/>
      <c r="AV113" s="4" t="s">
        <v>228</v>
      </c>
      <c r="AW113" s="4" t="s">
        <v>71</v>
      </c>
    </row>
    <row r="114" spans="1:49" x14ac:dyDescent="0.3">
      <c r="A114" s="4" t="s">
        <v>894</v>
      </c>
      <c r="B114" s="4"/>
      <c r="C114" s="4" t="s">
        <v>1894</v>
      </c>
      <c r="D114" s="4"/>
      <c r="E114" s="4" t="s">
        <v>727</v>
      </c>
      <c r="F114" s="4"/>
      <c r="G114" s="4" t="s">
        <v>1895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 t="s">
        <v>1896</v>
      </c>
      <c r="S114" s="4" t="s">
        <v>1897</v>
      </c>
      <c r="T114" s="4"/>
      <c r="U114" s="4"/>
      <c r="V114" s="4"/>
      <c r="W114" s="4" t="s">
        <v>1898</v>
      </c>
      <c r="X114" s="4"/>
      <c r="Y114" s="4"/>
      <c r="Z114" s="4"/>
      <c r="AA114" s="4"/>
      <c r="AB114" s="4" t="s">
        <v>1899</v>
      </c>
      <c r="AC114" s="4"/>
      <c r="AD114" s="4"/>
      <c r="AE114" s="4" t="s">
        <v>1257</v>
      </c>
      <c r="AF114" s="4" t="s">
        <v>66</v>
      </c>
      <c r="AG114" s="4"/>
      <c r="AH114" s="4"/>
      <c r="AI114" s="4"/>
      <c r="AJ114" s="4"/>
      <c r="AK114" s="4"/>
      <c r="AL114" s="4"/>
      <c r="AM114" s="4" t="s">
        <v>1900</v>
      </c>
      <c r="AN114" s="4"/>
      <c r="AO114" s="4" t="s">
        <v>1466</v>
      </c>
      <c r="AP114" s="4"/>
      <c r="AQ114" s="4" t="s">
        <v>521</v>
      </c>
      <c r="AS114" s="4"/>
      <c r="AT114" s="4"/>
      <c r="AU114" s="4"/>
      <c r="AV114" s="4" t="s">
        <v>59</v>
      </c>
      <c r="AW114" s="4" t="s">
        <v>94</v>
      </c>
    </row>
    <row r="115" spans="1:49" x14ac:dyDescent="0.3">
      <c r="A115" s="4" t="s">
        <v>902</v>
      </c>
      <c r="B115" s="4"/>
      <c r="C115" s="4" t="s">
        <v>727</v>
      </c>
      <c r="D115" s="4"/>
      <c r="E115" s="4" t="s">
        <v>727</v>
      </c>
      <c r="F115" s="4"/>
      <c r="G115" s="4" t="s">
        <v>1901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 t="s">
        <v>698</v>
      </c>
      <c r="S115" s="4" t="s">
        <v>1902</v>
      </c>
      <c r="T115" s="4"/>
      <c r="U115" s="4"/>
      <c r="V115" s="4"/>
      <c r="W115" s="4" t="s">
        <v>1256</v>
      </c>
      <c r="X115" s="4"/>
      <c r="Y115" s="4"/>
      <c r="Z115" s="4"/>
      <c r="AA115" s="4"/>
      <c r="AB115" s="4" t="s">
        <v>1903</v>
      </c>
      <c r="AC115" s="4"/>
      <c r="AD115" s="4"/>
      <c r="AE115" s="4" t="s">
        <v>1904</v>
      </c>
      <c r="AF115" s="4" t="s">
        <v>263</v>
      </c>
      <c r="AG115" s="4"/>
      <c r="AH115" s="4"/>
      <c r="AI115" s="4"/>
      <c r="AJ115" s="4"/>
      <c r="AK115" s="4"/>
      <c r="AL115" s="4"/>
      <c r="AM115" s="4" t="s">
        <v>1905</v>
      </c>
      <c r="AN115" s="4"/>
      <c r="AO115" s="4" t="s">
        <v>305</v>
      </c>
      <c r="AP115" s="4"/>
      <c r="AQ115" s="4" t="s">
        <v>201</v>
      </c>
      <c r="AS115" s="4"/>
      <c r="AT115" s="4"/>
      <c r="AU115" s="4"/>
      <c r="AV115" s="4" t="s">
        <v>228</v>
      </c>
      <c r="AW115" s="4" t="s">
        <v>107</v>
      </c>
    </row>
    <row r="116" spans="1:49" x14ac:dyDescent="0.3">
      <c r="A116" s="4" t="s">
        <v>910</v>
      </c>
      <c r="B116" s="4"/>
      <c r="C116" s="4" t="s">
        <v>1234</v>
      </c>
      <c r="D116" s="4"/>
      <c r="E116" s="4" t="s">
        <v>1234</v>
      </c>
      <c r="F116" s="4"/>
      <c r="G116" s="4" t="s">
        <v>1234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 t="s">
        <v>1234</v>
      </c>
      <c r="S116" s="4" t="s">
        <v>1234</v>
      </c>
      <c r="T116" s="4"/>
      <c r="U116" s="4"/>
      <c r="V116" s="4"/>
      <c r="W116" s="4" t="s">
        <v>1234</v>
      </c>
      <c r="X116" s="4"/>
      <c r="Y116" s="4"/>
      <c r="Z116" s="4"/>
      <c r="AA116" s="4"/>
      <c r="AB116" s="4" t="s">
        <v>1234</v>
      </c>
      <c r="AC116" s="4"/>
      <c r="AD116" s="4"/>
      <c r="AE116" s="4" t="s">
        <v>1234</v>
      </c>
      <c r="AF116" s="4" t="s">
        <v>1234</v>
      </c>
      <c r="AG116" s="4"/>
      <c r="AH116" s="4"/>
      <c r="AI116" s="4"/>
      <c r="AJ116" s="4"/>
      <c r="AK116" s="4"/>
      <c r="AL116" s="4"/>
      <c r="AM116" s="4" t="s">
        <v>1234</v>
      </c>
      <c r="AN116" s="4"/>
      <c r="AO116" s="4" t="s">
        <v>1234</v>
      </c>
      <c r="AP116" s="4"/>
      <c r="AQ116" s="4" t="s">
        <v>1234</v>
      </c>
      <c r="AS116" s="4"/>
      <c r="AT116" s="4"/>
      <c r="AU116" s="4"/>
      <c r="AV116" s="4" t="s">
        <v>1234</v>
      </c>
      <c r="AW116" s="4" t="s">
        <v>1234</v>
      </c>
    </row>
    <row r="117" spans="1:49" x14ac:dyDescent="0.3">
      <c r="A117" s="4" t="s">
        <v>915</v>
      </c>
      <c r="B117" s="4"/>
      <c r="C117" s="4" t="s">
        <v>1906</v>
      </c>
      <c r="D117" s="4"/>
      <c r="E117" s="4" t="s">
        <v>304</v>
      </c>
      <c r="F117" s="4"/>
      <c r="G117" s="4" t="s">
        <v>1907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 t="s">
        <v>1908</v>
      </c>
      <c r="S117" s="4" t="s">
        <v>1909</v>
      </c>
      <c r="T117" s="4"/>
      <c r="U117" s="4"/>
      <c r="V117" s="4"/>
      <c r="W117" s="4" t="s">
        <v>84</v>
      </c>
      <c r="X117" s="4"/>
      <c r="Y117" s="4"/>
      <c r="Z117" s="4"/>
      <c r="AA117" s="4"/>
      <c r="AB117" s="4" t="s">
        <v>1910</v>
      </c>
      <c r="AC117" s="4"/>
      <c r="AD117" s="4"/>
      <c r="AE117" s="4" t="s">
        <v>1911</v>
      </c>
      <c r="AF117" s="4" t="s">
        <v>439</v>
      </c>
      <c r="AG117" s="4"/>
      <c r="AH117" s="4"/>
      <c r="AI117" s="4"/>
      <c r="AJ117" s="4"/>
      <c r="AK117" s="4"/>
      <c r="AL117" s="4"/>
      <c r="AM117" s="4" t="s">
        <v>1912</v>
      </c>
      <c r="AN117" s="4"/>
      <c r="AO117" s="4" t="s">
        <v>133</v>
      </c>
      <c r="AP117" s="4"/>
      <c r="AQ117" s="4" t="s">
        <v>439</v>
      </c>
      <c r="AS117" s="4"/>
      <c r="AT117" s="4"/>
      <c r="AU117" s="4"/>
      <c r="AV117" s="4" t="s">
        <v>147</v>
      </c>
      <c r="AW117" s="4" t="s">
        <v>133</v>
      </c>
    </row>
    <row r="118" spans="1:49" x14ac:dyDescent="0.3">
      <c r="A118" s="4" t="s">
        <v>921</v>
      </c>
      <c r="B118" s="4"/>
      <c r="C118" s="4" t="s">
        <v>1792</v>
      </c>
      <c r="D118" s="4"/>
      <c r="E118" s="4" t="s">
        <v>50</v>
      </c>
      <c r="F118" s="4"/>
      <c r="G118" s="4" t="s">
        <v>1913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 t="s">
        <v>1914</v>
      </c>
      <c r="S118" s="4" t="s">
        <v>297</v>
      </c>
      <c r="T118" s="4"/>
      <c r="U118" s="4"/>
      <c r="V118" s="4"/>
      <c r="W118" s="4" t="s">
        <v>1915</v>
      </c>
      <c r="X118" s="4"/>
      <c r="Y118" s="4"/>
      <c r="Z118" s="4"/>
      <c r="AA118" s="4"/>
      <c r="AB118" s="4" t="s">
        <v>1083</v>
      </c>
      <c r="AC118" s="4"/>
      <c r="AD118" s="4"/>
      <c r="AE118" s="4" t="s">
        <v>925</v>
      </c>
      <c r="AF118" s="4" t="s">
        <v>79</v>
      </c>
      <c r="AG118" s="4"/>
      <c r="AH118" s="4"/>
      <c r="AI118" s="4"/>
      <c r="AJ118" s="4"/>
      <c r="AK118" s="4"/>
      <c r="AL118" s="4"/>
      <c r="AM118" s="4" t="s">
        <v>1916</v>
      </c>
      <c r="AN118" s="4"/>
      <c r="AO118" s="4" t="s">
        <v>123</v>
      </c>
      <c r="AP118" s="4"/>
      <c r="AQ118" s="4" t="s">
        <v>276</v>
      </c>
      <c r="AS118" s="4"/>
      <c r="AT118" s="4"/>
      <c r="AU118" s="4"/>
      <c r="AV118" s="4" t="s">
        <v>70</v>
      </c>
      <c r="AW118" s="4" t="s">
        <v>133</v>
      </c>
    </row>
    <row r="119" spans="1:49" x14ac:dyDescent="0.3">
      <c r="A119" s="4" t="s">
        <v>928</v>
      </c>
      <c r="B119" s="4"/>
      <c r="C119" s="4" t="s">
        <v>1917</v>
      </c>
      <c r="D119" s="4"/>
      <c r="E119" s="4" t="s">
        <v>298</v>
      </c>
      <c r="F119" s="4"/>
      <c r="G119" s="4" t="s">
        <v>1918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 t="s">
        <v>1919</v>
      </c>
      <c r="S119" s="4" t="s">
        <v>1920</v>
      </c>
      <c r="T119" s="4"/>
      <c r="U119" s="4" t="s">
        <v>1921</v>
      </c>
      <c r="V119" s="4"/>
      <c r="W119" s="4"/>
      <c r="X119" s="4"/>
      <c r="Y119" s="4" t="s">
        <v>1922</v>
      </c>
      <c r="Z119" s="4"/>
      <c r="AA119" s="4"/>
      <c r="AB119" s="4"/>
      <c r="AC119" s="4" t="s">
        <v>1923</v>
      </c>
      <c r="AD119" s="4"/>
      <c r="AE119" s="4"/>
      <c r="AF119" s="4"/>
      <c r="AG119" s="4" t="s">
        <v>55</v>
      </c>
      <c r="AH119" s="4"/>
      <c r="AI119" s="4"/>
      <c r="AJ119" s="4"/>
      <c r="AK119" s="4"/>
      <c r="AL119" s="4"/>
      <c r="AM119" s="4" t="s">
        <v>1924</v>
      </c>
      <c r="AN119" s="4"/>
      <c r="AO119" s="4" t="s">
        <v>284</v>
      </c>
      <c r="AP119" s="4"/>
      <c r="AQ119" s="4" t="s">
        <v>172</v>
      </c>
      <c r="AS119" s="4"/>
      <c r="AT119" s="4"/>
      <c r="AU119" s="4"/>
      <c r="AV119" s="4" t="s">
        <v>228</v>
      </c>
      <c r="AW119" s="4" t="s">
        <v>133</v>
      </c>
    </row>
    <row r="120" spans="1:49" x14ac:dyDescent="0.3">
      <c r="A120" s="4" t="s">
        <v>936</v>
      </c>
      <c r="B120" s="4"/>
      <c r="C120" s="4" t="s">
        <v>554</v>
      </c>
      <c r="D120" s="4"/>
      <c r="E120" s="4" t="s">
        <v>554</v>
      </c>
      <c r="F120" s="4"/>
      <c r="G120" s="4" t="s">
        <v>814</v>
      </c>
      <c r="H120" s="4"/>
      <c r="I120" s="4"/>
      <c r="J120" s="4" t="s">
        <v>445</v>
      </c>
      <c r="K120" s="4"/>
      <c r="L120" s="4" t="s">
        <v>445</v>
      </c>
      <c r="M120" s="4"/>
      <c r="N120" s="4"/>
      <c r="O120" s="4"/>
      <c r="P120" s="4"/>
      <c r="Q120" s="4"/>
      <c r="R120" s="4" t="s">
        <v>1925</v>
      </c>
      <c r="S120" s="4" t="s">
        <v>554</v>
      </c>
      <c r="T120" s="4"/>
      <c r="U120" s="4" t="s">
        <v>381</v>
      </c>
      <c r="V120" s="4"/>
      <c r="W120" s="4"/>
      <c r="X120" s="4"/>
      <c r="Y120" s="4" t="s">
        <v>638</v>
      </c>
      <c r="Z120" s="4"/>
      <c r="AA120" s="4"/>
      <c r="AB120" s="4"/>
      <c r="AC120" s="4" t="s">
        <v>638</v>
      </c>
      <c r="AD120" s="4"/>
      <c r="AE120" s="4"/>
      <c r="AF120" s="4"/>
      <c r="AG120" s="4" t="s">
        <v>206</v>
      </c>
      <c r="AH120" s="4"/>
      <c r="AI120" s="4"/>
      <c r="AJ120" s="4"/>
      <c r="AK120" s="4"/>
      <c r="AL120" s="4"/>
      <c r="AM120" s="4" t="s">
        <v>1253</v>
      </c>
      <c r="AN120" s="4"/>
      <c r="AO120" s="4" t="s">
        <v>388</v>
      </c>
      <c r="AP120" s="4"/>
      <c r="AQ120" s="4" t="s">
        <v>388</v>
      </c>
      <c r="AS120" s="4"/>
      <c r="AT120" s="4"/>
      <c r="AU120" s="4"/>
      <c r="AV120" s="4" t="s">
        <v>147</v>
      </c>
      <c r="AW120" s="4" t="s">
        <v>274</v>
      </c>
    </row>
    <row r="121" spans="1:49" x14ac:dyDescent="0.3">
      <c r="A121" s="4" t="s">
        <v>941</v>
      </c>
      <c r="B121" s="4"/>
      <c r="C121" s="4" t="s">
        <v>727</v>
      </c>
      <c r="D121" s="4"/>
      <c r="E121" s="4" t="s">
        <v>727</v>
      </c>
      <c r="F121" s="4"/>
      <c r="G121" s="4" t="s">
        <v>1926</v>
      </c>
      <c r="H121" s="4"/>
      <c r="I121" s="4"/>
      <c r="J121" s="4" t="s">
        <v>284</v>
      </c>
      <c r="K121" s="4"/>
      <c r="L121" s="4" t="s">
        <v>284</v>
      </c>
      <c r="M121" s="4"/>
      <c r="N121" s="4"/>
      <c r="O121" s="4"/>
      <c r="P121" s="4"/>
      <c r="Q121" s="4"/>
      <c r="R121" s="4" t="s">
        <v>1690</v>
      </c>
      <c r="S121" s="4" t="s">
        <v>1690</v>
      </c>
      <c r="T121" s="4"/>
      <c r="U121" s="4" t="s">
        <v>1148</v>
      </c>
      <c r="V121" s="4"/>
      <c r="W121" s="4"/>
      <c r="X121" s="4"/>
      <c r="Y121" s="4" t="s">
        <v>1927</v>
      </c>
      <c r="Z121" s="4"/>
      <c r="AA121" s="4"/>
      <c r="AB121" s="4"/>
      <c r="AC121" s="4" t="s">
        <v>1927</v>
      </c>
      <c r="AD121" s="4"/>
      <c r="AE121" s="4"/>
      <c r="AF121" s="4"/>
      <c r="AG121" s="4" t="s">
        <v>134</v>
      </c>
      <c r="AH121" s="4"/>
      <c r="AI121" s="4"/>
      <c r="AJ121" s="4"/>
      <c r="AK121" s="4"/>
      <c r="AL121" s="4"/>
      <c r="AM121" s="4" t="s">
        <v>1928</v>
      </c>
      <c r="AN121" s="4"/>
      <c r="AO121" s="4" t="s">
        <v>74</v>
      </c>
      <c r="AP121" s="4"/>
      <c r="AQ121" s="4" t="s">
        <v>74</v>
      </c>
      <c r="AS121" s="4"/>
      <c r="AT121" s="4"/>
      <c r="AU121" s="4"/>
      <c r="AV121" s="4" t="s">
        <v>71</v>
      </c>
      <c r="AW121" s="4" t="s">
        <v>71</v>
      </c>
    </row>
    <row r="122" spans="1:49" x14ac:dyDescent="0.3">
      <c r="A122" s="4" t="s">
        <v>947</v>
      </c>
      <c r="B122" s="4"/>
      <c r="C122" s="4" t="s">
        <v>744</v>
      </c>
      <c r="D122" s="4"/>
      <c r="E122" s="4" t="s">
        <v>386</v>
      </c>
      <c r="F122" s="4"/>
      <c r="G122" s="4" t="s">
        <v>1929</v>
      </c>
      <c r="H122" s="4"/>
      <c r="I122" s="4"/>
      <c r="J122" s="4" t="s">
        <v>871</v>
      </c>
      <c r="K122" s="4"/>
      <c r="L122" s="4" t="s">
        <v>949</v>
      </c>
      <c r="M122" s="4"/>
      <c r="N122" s="4"/>
      <c r="O122" s="4"/>
      <c r="P122" s="4"/>
      <c r="Q122" s="4"/>
      <c r="R122" s="4" t="s">
        <v>1930</v>
      </c>
      <c r="S122" s="4" t="s">
        <v>1931</v>
      </c>
      <c r="T122" s="4"/>
      <c r="U122" s="4" t="s">
        <v>1103</v>
      </c>
      <c r="V122" s="4"/>
      <c r="W122" s="4"/>
      <c r="X122" s="4"/>
      <c r="Y122" s="4" t="s">
        <v>1932</v>
      </c>
      <c r="Z122" s="4"/>
      <c r="AA122" s="4"/>
      <c r="AB122" s="4"/>
      <c r="AC122" s="4" t="s">
        <v>951</v>
      </c>
      <c r="AD122" s="4"/>
      <c r="AE122" s="4"/>
      <c r="AF122" s="4"/>
      <c r="AG122" s="4" t="s">
        <v>59</v>
      </c>
      <c r="AH122" s="4"/>
      <c r="AI122" s="4"/>
      <c r="AJ122" s="4"/>
      <c r="AK122" s="4"/>
      <c r="AL122" s="4"/>
      <c r="AM122" s="4" t="s">
        <v>1933</v>
      </c>
      <c r="AN122" s="4"/>
      <c r="AO122" s="4" t="s">
        <v>770</v>
      </c>
      <c r="AP122" s="4"/>
      <c r="AQ122" s="4" t="s">
        <v>311</v>
      </c>
      <c r="AS122" s="4"/>
      <c r="AT122" s="4"/>
      <c r="AU122" s="4"/>
      <c r="AV122" s="4" t="s">
        <v>107</v>
      </c>
      <c r="AW122" s="4" t="s">
        <v>134</v>
      </c>
    </row>
    <row r="123" spans="1:49" x14ac:dyDescent="0.3">
      <c r="A123" s="4" t="s">
        <v>953</v>
      </c>
      <c r="B123" s="4"/>
      <c r="C123" s="4" t="s">
        <v>661</v>
      </c>
      <c r="D123" s="4"/>
      <c r="E123" s="4" t="s">
        <v>377</v>
      </c>
      <c r="F123" s="4"/>
      <c r="G123" s="4" t="s">
        <v>1934</v>
      </c>
      <c r="H123" s="4"/>
      <c r="I123" s="4"/>
      <c r="J123" s="4" t="s">
        <v>955</v>
      </c>
      <c r="K123" s="4"/>
      <c r="L123" s="4" t="s">
        <v>458</v>
      </c>
      <c r="M123" s="4"/>
      <c r="N123" s="4"/>
      <c r="O123" s="4"/>
      <c r="P123" s="4"/>
      <c r="Q123" s="4"/>
      <c r="R123" s="4" t="s">
        <v>1935</v>
      </c>
      <c r="S123" s="4" t="s">
        <v>540</v>
      </c>
      <c r="T123" s="4"/>
      <c r="U123" s="4" t="s">
        <v>1092</v>
      </c>
      <c r="V123" s="4"/>
      <c r="W123" s="4"/>
      <c r="X123" s="4"/>
      <c r="Y123" s="4" t="s">
        <v>655</v>
      </c>
      <c r="Z123" s="4"/>
      <c r="AA123" s="4"/>
      <c r="AB123" s="4"/>
      <c r="AC123" s="4" t="s">
        <v>684</v>
      </c>
      <c r="AD123" s="4"/>
      <c r="AE123" s="4"/>
      <c r="AF123" s="4"/>
      <c r="AG123" s="4" t="s">
        <v>63</v>
      </c>
      <c r="AH123" s="4"/>
      <c r="AI123" s="4"/>
      <c r="AJ123" s="4"/>
      <c r="AK123" s="4"/>
      <c r="AL123" s="4"/>
      <c r="AM123" s="4" t="s">
        <v>1936</v>
      </c>
      <c r="AN123" s="4"/>
      <c r="AO123" s="4" t="s">
        <v>94</v>
      </c>
      <c r="AP123" s="4"/>
      <c r="AQ123" s="4" t="s">
        <v>117</v>
      </c>
      <c r="AS123" s="4"/>
      <c r="AT123" s="4"/>
      <c r="AU123" s="4"/>
      <c r="AV123" s="4" t="s">
        <v>71</v>
      </c>
      <c r="AW123" s="4" t="s">
        <v>249</v>
      </c>
    </row>
    <row r="124" spans="1:49" x14ac:dyDescent="0.3">
      <c r="A124" s="4" t="s">
        <v>958</v>
      </c>
      <c r="B124" s="4"/>
      <c r="C124" s="4" t="s">
        <v>535</v>
      </c>
      <c r="D124" s="4"/>
      <c r="E124" s="4" t="s">
        <v>643</v>
      </c>
      <c r="F124" s="4"/>
      <c r="G124" s="4" t="s">
        <v>1937</v>
      </c>
      <c r="H124" s="4"/>
      <c r="I124" s="4"/>
      <c r="J124" s="4" t="s">
        <v>489</v>
      </c>
      <c r="K124" s="4"/>
      <c r="L124" s="4" t="s">
        <v>960</v>
      </c>
      <c r="M124" s="4"/>
      <c r="N124" s="4"/>
      <c r="O124" s="4"/>
      <c r="P124" s="4"/>
      <c r="Q124" s="4"/>
      <c r="R124" s="4" t="s">
        <v>1227</v>
      </c>
      <c r="S124" s="4" t="s">
        <v>1938</v>
      </c>
      <c r="T124" s="4"/>
      <c r="U124" s="4" t="s">
        <v>429</v>
      </c>
      <c r="V124" s="4"/>
      <c r="W124" s="4"/>
      <c r="X124" s="4"/>
      <c r="Y124" s="4" t="s">
        <v>1865</v>
      </c>
      <c r="Z124" s="4"/>
      <c r="AA124" s="4"/>
      <c r="AB124" s="4"/>
      <c r="AC124" s="4" t="s">
        <v>639</v>
      </c>
      <c r="AD124" s="4"/>
      <c r="AE124" s="4"/>
      <c r="AF124" s="4"/>
      <c r="AG124" s="4" t="s">
        <v>63</v>
      </c>
      <c r="AH124" s="4"/>
      <c r="AI124" s="4"/>
      <c r="AJ124" s="4"/>
      <c r="AK124" s="4"/>
      <c r="AL124" s="4"/>
      <c r="AM124" s="4" t="s">
        <v>1939</v>
      </c>
      <c r="AN124" s="4"/>
      <c r="AO124" s="4" t="s">
        <v>331</v>
      </c>
      <c r="AP124" s="4"/>
      <c r="AQ124" s="4" t="s">
        <v>453</v>
      </c>
      <c r="AS124" s="4"/>
      <c r="AT124" s="4"/>
      <c r="AU124" s="4"/>
      <c r="AV124" s="4" t="s">
        <v>228</v>
      </c>
      <c r="AW124" s="4" t="s">
        <v>158</v>
      </c>
    </row>
    <row r="125" spans="1:49" x14ac:dyDescent="0.3">
      <c r="A125" s="4" t="s">
        <v>962</v>
      </c>
      <c r="B125" s="4"/>
      <c r="C125" s="4" t="s">
        <v>661</v>
      </c>
      <c r="D125" s="4"/>
      <c r="E125" s="4" t="s">
        <v>661</v>
      </c>
      <c r="F125" s="4"/>
      <c r="G125" s="4" t="s">
        <v>1940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 t="s">
        <v>1941</v>
      </c>
      <c r="S125" s="4" t="s">
        <v>1942</v>
      </c>
      <c r="T125" s="4"/>
      <c r="U125" s="4" t="s">
        <v>381</v>
      </c>
      <c r="V125" s="4"/>
      <c r="W125" s="4"/>
      <c r="X125" s="4"/>
      <c r="Y125" s="4" t="s">
        <v>1202</v>
      </c>
      <c r="Z125" s="4"/>
      <c r="AA125" s="4"/>
      <c r="AB125" s="4"/>
      <c r="AC125" s="4" t="s">
        <v>1943</v>
      </c>
      <c r="AD125" s="4"/>
      <c r="AE125" s="4"/>
      <c r="AF125" s="4"/>
      <c r="AG125" s="4" t="s">
        <v>107</v>
      </c>
      <c r="AH125" s="4"/>
      <c r="AI125" s="4"/>
      <c r="AJ125" s="4"/>
      <c r="AK125" s="4"/>
      <c r="AL125" s="4"/>
      <c r="AM125" s="4" t="s">
        <v>1944</v>
      </c>
      <c r="AN125" s="4"/>
      <c r="AO125" s="4" t="s">
        <v>117</v>
      </c>
      <c r="AP125" s="4"/>
      <c r="AQ125" s="4" t="s">
        <v>180</v>
      </c>
      <c r="AS125" s="4"/>
      <c r="AT125" s="4"/>
      <c r="AU125" s="4"/>
      <c r="AV125" s="4" t="s">
        <v>147</v>
      </c>
      <c r="AW125" s="4" t="s">
        <v>60</v>
      </c>
    </row>
    <row r="126" spans="1:49" x14ac:dyDescent="0.3">
      <c r="A126" s="4" t="s">
        <v>968</v>
      </c>
      <c r="B126" s="4"/>
      <c r="C126" s="4" t="s">
        <v>853</v>
      </c>
      <c r="D126" s="4"/>
      <c r="E126" s="4" t="s">
        <v>535</v>
      </c>
      <c r="F126" s="4"/>
      <c r="G126" s="4" t="s">
        <v>1945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 t="s">
        <v>1946</v>
      </c>
      <c r="S126" s="4" t="s">
        <v>1878</v>
      </c>
      <c r="T126" s="4"/>
      <c r="U126" s="4"/>
      <c r="V126" s="4"/>
      <c r="W126" s="4" t="s">
        <v>380</v>
      </c>
      <c r="X126" s="4"/>
      <c r="Y126" s="4"/>
      <c r="Z126" s="4"/>
      <c r="AA126" s="4"/>
      <c r="AB126" s="4" t="s">
        <v>1864</v>
      </c>
      <c r="AC126" s="4"/>
      <c r="AD126" s="4"/>
      <c r="AE126" s="4" t="s">
        <v>611</v>
      </c>
      <c r="AF126" s="4" t="s">
        <v>71</v>
      </c>
      <c r="AG126" s="4"/>
      <c r="AH126" s="4"/>
      <c r="AI126" s="4"/>
      <c r="AJ126" s="4"/>
      <c r="AK126" s="4"/>
      <c r="AL126" s="4"/>
      <c r="AM126" s="4" t="s">
        <v>1947</v>
      </c>
      <c r="AN126" s="4"/>
      <c r="AO126" s="4" t="s">
        <v>301</v>
      </c>
      <c r="AP126" s="4"/>
      <c r="AQ126" s="4" t="s">
        <v>276</v>
      </c>
      <c r="AS126" s="4"/>
      <c r="AT126" s="4"/>
      <c r="AU126" s="4"/>
      <c r="AV126" s="4" t="s">
        <v>228</v>
      </c>
      <c r="AW126" s="4" t="s">
        <v>133</v>
      </c>
    </row>
    <row r="127" spans="1:49" x14ac:dyDescent="0.3">
      <c r="A127" s="4" t="s">
        <v>972</v>
      </c>
      <c r="B127" s="4"/>
      <c r="C127" s="4" t="s">
        <v>49</v>
      </c>
      <c r="D127" s="4"/>
      <c r="E127" s="4" t="s">
        <v>298</v>
      </c>
      <c r="F127" s="4"/>
      <c r="G127" s="4" t="s">
        <v>1092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 t="s">
        <v>1228</v>
      </c>
      <c r="S127" s="4" t="s">
        <v>548</v>
      </c>
      <c r="T127" s="4"/>
      <c r="U127" s="4"/>
      <c r="V127" s="4"/>
      <c r="W127" s="4" t="s">
        <v>52</v>
      </c>
      <c r="X127" s="4"/>
      <c r="Y127" s="4"/>
      <c r="Z127" s="4"/>
      <c r="AA127" s="4"/>
      <c r="AB127" s="4" t="s">
        <v>1864</v>
      </c>
      <c r="AC127" s="4"/>
      <c r="AD127" s="4"/>
      <c r="AE127" s="4" t="s">
        <v>1753</v>
      </c>
      <c r="AF127" s="4" t="s">
        <v>301</v>
      </c>
      <c r="AG127" s="4"/>
      <c r="AH127" s="4"/>
      <c r="AI127" s="4"/>
      <c r="AJ127" s="4"/>
      <c r="AK127" s="4"/>
      <c r="AL127" s="4"/>
      <c r="AM127" s="4" t="s">
        <v>459</v>
      </c>
      <c r="AN127" s="4"/>
      <c r="AO127" s="4" t="s">
        <v>331</v>
      </c>
      <c r="AP127" s="4"/>
      <c r="AQ127" s="4" t="s">
        <v>155</v>
      </c>
      <c r="AS127" s="4"/>
      <c r="AT127" s="4"/>
      <c r="AU127" s="4"/>
      <c r="AV127" s="4" t="s">
        <v>228</v>
      </c>
      <c r="AW127" s="4" t="s">
        <v>228</v>
      </c>
    </row>
    <row r="128" spans="1:49" x14ac:dyDescent="0.3">
      <c r="A128" s="4" t="s">
        <v>978</v>
      </c>
      <c r="B128" s="4"/>
      <c r="C128" s="4" t="s">
        <v>304</v>
      </c>
      <c r="D128" s="4"/>
      <c r="E128" s="4" t="s">
        <v>96</v>
      </c>
      <c r="F128" s="4"/>
      <c r="G128" s="4" t="s">
        <v>1948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 t="s">
        <v>1103</v>
      </c>
      <c r="S128" s="4" t="s">
        <v>110</v>
      </c>
      <c r="T128" s="4"/>
      <c r="U128" s="4"/>
      <c r="V128" s="4"/>
      <c r="W128" s="4" t="s">
        <v>1949</v>
      </c>
      <c r="X128" s="4"/>
      <c r="Y128" s="4"/>
      <c r="Z128" s="4"/>
      <c r="AA128" s="4"/>
      <c r="AB128" s="4" t="s">
        <v>488</v>
      </c>
      <c r="AC128" s="4"/>
      <c r="AD128" s="4"/>
      <c r="AE128" s="4" t="s">
        <v>710</v>
      </c>
      <c r="AF128" s="4" t="s">
        <v>123</v>
      </c>
      <c r="AG128" s="4"/>
      <c r="AH128" s="4"/>
      <c r="AI128" s="4"/>
      <c r="AJ128" s="4"/>
      <c r="AK128" s="4"/>
      <c r="AL128" s="4"/>
      <c r="AM128" s="4" t="s">
        <v>1950</v>
      </c>
      <c r="AN128" s="4"/>
      <c r="AO128" s="4" t="s">
        <v>521</v>
      </c>
      <c r="AP128" s="4"/>
      <c r="AQ128" s="4" t="s">
        <v>59</v>
      </c>
      <c r="AS128" s="4"/>
      <c r="AT128" s="4"/>
      <c r="AU128" s="4"/>
      <c r="AV128" s="4" t="s">
        <v>70</v>
      </c>
      <c r="AW128" s="4" t="s">
        <v>147</v>
      </c>
    </row>
    <row r="129" spans="1:49" x14ac:dyDescent="0.3">
      <c r="A129" s="4" t="s">
        <v>983</v>
      </c>
      <c r="B129" s="4"/>
      <c r="C129" s="4" t="s">
        <v>1951</v>
      </c>
      <c r="D129" s="4"/>
      <c r="E129" s="4" t="s">
        <v>304</v>
      </c>
      <c r="F129" s="4"/>
      <c r="G129" s="4" t="s">
        <v>1952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 t="s">
        <v>1953</v>
      </c>
      <c r="S129" s="4" t="s">
        <v>1954</v>
      </c>
      <c r="T129" s="4"/>
      <c r="U129" s="4"/>
      <c r="V129" s="4"/>
      <c r="W129" s="4" t="s">
        <v>488</v>
      </c>
      <c r="X129" s="4"/>
      <c r="Y129" s="4"/>
      <c r="Z129" s="4"/>
      <c r="AA129" s="4"/>
      <c r="AB129" s="4" t="s">
        <v>849</v>
      </c>
      <c r="AC129" s="4"/>
      <c r="AD129" s="4"/>
      <c r="AE129" s="4" t="s">
        <v>1758</v>
      </c>
      <c r="AF129" s="4" t="s">
        <v>123</v>
      </c>
      <c r="AG129" s="4"/>
      <c r="AH129" s="4"/>
      <c r="AI129" s="4"/>
      <c r="AJ129" s="4"/>
      <c r="AK129" s="4"/>
      <c r="AL129" s="4"/>
      <c r="AM129" s="4" t="s">
        <v>1955</v>
      </c>
      <c r="AN129" s="4"/>
      <c r="AO129" s="4" t="s">
        <v>71</v>
      </c>
      <c r="AP129" s="4"/>
      <c r="AQ129" s="4" t="s">
        <v>56</v>
      </c>
      <c r="AS129" s="4"/>
      <c r="AT129" s="4"/>
      <c r="AU129" s="4"/>
      <c r="AV129" s="4" t="s">
        <v>70</v>
      </c>
      <c r="AW129" s="4" t="s">
        <v>228</v>
      </c>
    </row>
    <row r="130" spans="1:49" x14ac:dyDescent="0.3">
      <c r="A130" s="4" t="s">
        <v>987</v>
      </c>
      <c r="B130" s="4"/>
      <c r="C130" s="4" t="s">
        <v>1234</v>
      </c>
      <c r="D130" s="4"/>
      <c r="E130" s="4" t="s">
        <v>1234</v>
      </c>
      <c r="F130" s="4"/>
      <c r="G130" s="4" t="s">
        <v>1234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 t="s">
        <v>1234</v>
      </c>
      <c r="S130" s="4" t="s">
        <v>1234</v>
      </c>
      <c r="T130" s="4"/>
      <c r="U130" s="4"/>
      <c r="V130" s="4"/>
      <c r="W130" s="4" t="s">
        <v>1234</v>
      </c>
      <c r="X130" s="4"/>
      <c r="Y130" s="4"/>
      <c r="Z130" s="4"/>
      <c r="AA130" s="4"/>
      <c r="AB130" s="4" t="s">
        <v>1234</v>
      </c>
      <c r="AC130" s="4"/>
      <c r="AD130" s="4"/>
      <c r="AE130" s="4" t="s">
        <v>1234</v>
      </c>
      <c r="AF130" s="4" t="s">
        <v>1234</v>
      </c>
      <c r="AG130" s="4"/>
      <c r="AH130" s="4"/>
      <c r="AI130" s="4"/>
      <c r="AJ130" s="4"/>
      <c r="AK130" s="4"/>
      <c r="AL130" s="4"/>
      <c r="AM130" s="4" t="s">
        <v>1234</v>
      </c>
      <c r="AN130" s="4"/>
      <c r="AO130" s="4" t="s">
        <v>1234</v>
      </c>
      <c r="AP130" s="4"/>
      <c r="AQ130" s="4" t="s">
        <v>1234</v>
      </c>
      <c r="AS130" s="4"/>
      <c r="AT130" s="4"/>
      <c r="AU130" s="4"/>
      <c r="AV130" s="4" t="s">
        <v>1234</v>
      </c>
      <c r="AW130" s="4" t="s">
        <v>1234</v>
      </c>
    </row>
    <row r="131" spans="1:49" x14ac:dyDescent="0.3">
      <c r="A131" s="4" t="s">
        <v>991</v>
      </c>
      <c r="B131" s="4"/>
      <c r="C131" s="4" t="s">
        <v>727</v>
      </c>
      <c r="D131" s="4"/>
      <c r="E131" s="4" t="s">
        <v>727</v>
      </c>
      <c r="F131" s="4"/>
      <c r="G131" s="4" t="s">
        <v>1956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 t="s">
        <v>973</v>
      </c>
      <c r="S131" s="4" t="s">
        <v>297</v>
      </c>
      <c r="T131" s="4"/>
      <c r="U131" s="4" t="s">
        <v>386</v>
      </c>
      <c r="V131" s="4"/>
      <c r="W131" s="4"/>
      <c r="X131" s="4"/>
      <c r="Y131" s="4" t="s">
        <v>549</v>
      </c>
      <c r="Z131" s="4"/>
      <c r="AA131" s="4"/>
      <c r="AB131" s="4"/>
      <c r="AC131" s="4" t="s">
        <v>1747</v>
      </c>
      <c r="AD131" s="4"/>
      <c r="AE131" s="4"/>
      <c r="AF131" s="4"/>
      <c r="AG131" s="4" t="s">
        <v>158</v>
      </c>
      <c r="AH131" s="4"/>
      <c r="AI131" s="4"/>
      <c r="AJ131" s="4"/>
      <c r="AK131" s="4"/>
      <c r="AL131" s="4"/>
      <c r="AM131" s="4" t="s">
        <v>1957</v>
      </c>
      <c r="AN131" s="4"/>
      <c r="AO131" s="4" t="s">
        <v>531</v>
      </c>
      <c r="AP131" s="4"/>
      <c r="AQ131" s="4" t="s">
        <v>793</v>
      </c>
      <c r="AS131" s="4"/>
      <c r="AT131" s="4"/>
      <c r="AU131" s="4"/>
      <c r="AV131" s="4" t="s">
        <v>172</v>
      </c>
      <c r="AW131" s="4" t="s">
        <v>107</v>
      </c>
    </row>
    <row r="132" spans="1:49" x14ac:dyDescent="0.3">
      <c r="A132" s="4" t="s">
        <v>996</v>
      </c>
      <c r="B132" s="4"/>
      <c r="C132" s="4" t="s">
        <v>524</v>
      </c>
      <c r="D132" s="4"/>
      <c r="E132" s="4" t="s">
        <v>554</v>
      </c>
      <c r="F132" s="4"/>
      <c r="G132" s="4" t="s">
        <v>1958</v>
      </c>
      <c r="H132" s="4"/>
      <c r="I132" s="4"/>
      <c r="J132" s="4" t="s">
        <v>172</v>
      </c>
      <c r="K132" s="4"/>
      <c r="L132" s="4" t="s">
        <v>445</v>
      </c>
      <c r="M132" s="4"/>
      <c r="N132" s="4"/>
      <c r="O132" s="4"/>
      <c r="P132" s="4"/>
      <c r="Q132" s="4"/>
      <c r="R132" s="4" t="s">
        <v>1827</v>
      </c>
      <c r="S132" s="4" t="s">
        <v>297</v>
      </c>
      <c r="T132" s="4"/>
      <c r="U132" s="4" t="s">
        <v>710</v>
      </c>
      <c r="V132" s="4"/>
      <c r="W132" s="4"/>
      <c r="X132" s="4"/>
      <c r="Y132" s="4" t="s">
        <v>939</v>
      </c>
      <c r="Z132" s="4"/>
      <c r="AA132" s="4"/>
      <c r="AB132" s="4"/>
      <c r="AC132" s="4" t="s">
        <v>1959</v>
      </c>
      <c r="AD132" s="4"/>
      <c r="AE132" s="4"/>
      <c r="AF132" s="4"/>
      <c r="AG132" s="4" t="s">
        <v>228</v>
      </c>
      <c r="AH132" s="4"/>
      <c r="AI132" s="4"/>
      <c r="AJ132" s="4"/>
      <c r="AK132" s="4"/>
      <c r="AL132" s="4"/>
      <c r="AM132" s="4" t="s">
        <v>1960</v>
      </c>
      <c r="AN132" s="4"/>
      <c r="AO132" s="4" t="s">
        <v>486</v>
      </c>
      <c r="AP132" s="4"/>
      <c r="AQ132" s="4" t="s">
        <v>714</v>
      </c>
      <c r="AS132" s="4"/>
      <c r="AT132" s="4"/>
      <c r="AU132" s="4"/>
      <c r="AV132" s="4" t="s">
        <v>228</v>
      </c>
      <c r="AW132" s="4" t="s">
        <v>147</v>
      </c>
    </row>
    <row r="133" spans="1:49" x14ac:dyDescent="0.3">
      <c r="A133" s="4" t="s">
        <v>1001</v>
      </c>
      <c r="B133" s="4"/>
      <c r="C133" s="4" t="s">
        <v>1920</v>
      </c>
      <c r="D133" s="4"/>
      <c r="E133" s="4" t="s">
        <v>1961</v>
      </c>
      <c r="F133" s="4"/>
      <c r="G133" s="4" t="s">
        <v>1962</v>
      </c>
      <c r="H133" s="4"/>
      <c r="I133" s="4"/>
      <c r="J133" s="4" t="s">
        <v>1142</v>
      </c>
      <c r="K133" s="4"/>
      <c r="L133" s="4" t="s">
        <v>1005</v>
      </c>
      <c r="M133" s="4"/>
      <c r="N133" s="4"/>
      <c r="O133" s="4"/>
      <c r="P133" s="4"/>
      <c r="Q133" s="4"/>
      <c r="R133" s="4" t="s">
        <v>1963</v>
      </c>
      <c r="S133" s="4" t="s">
        <v>297</v>
      </c>
      <c r="T133" s="4"/>
      <c r="U133" s="4" t="s">
        <v>981</v>
      </c>
      <c r="V133" s="4"/>
      <c r="W133" s="4"/>
      <c r="X133" s="4"/>
      <c r="Y133" s="4" t="s">
        <v>638</v>
      </c>
      <c r="Z133" s="4"/>
      <c r="AA133" s="4"/>
      <c r="AB133" s="4"/>
      <c r="AC133" s="4" t="s">
        <v>638</v>
      </c>
      <c r="AD133" s="4"/>
      <c r="AE133" s="4"/>
      <c r="AF133" s="4"/>
      <c r="AG133" s="4" t="s">
        <v>147</v>
      </c>
      <c r="AH133" s="4"/>
      <c r="AI133" s="4"/>
      <c r="AJ133" s="4"/>
      <c r="AK133" s="4"/>
      <c r="AL133" s="4"/>
      <c r="AM133" s="4" t="s">
        <v>1964</v>
      </c>
      <c r="AN133" s="4"/>
      <c r="AO133" s="4" t="s">
        <v>1965</v>
      </c>
      <c r="AP133" s="4"/>
      <c r="AQ133" s="4" t="s">
        <v>133</v>
      </c>
      <c r="AS133" s="4"/>
      <c r="AT133" s="4"/>
      <c r="AU133" s="4"/>
      <c r="AV133" s="4" t="s">
        <v>741</v>
      </c>
      <c r="AW133" s="4" t="s">
        <v>1966</v>
      </c>
    </row>
    <row r="134" spans="1:49" x14ac:dyDescent="0.3">
      <c r="A134" s="4" t="s">
        <v>1011</v>
      </c>
      <c r="B134" s="4"/>
      <c r="C134" s="4" t="s">
        <v>313</v>
      </c>
      <c r="D134" s="4"/>
      <c r="E134" s="4" t="s">
        <v>313</v>
      </c>
      <c r="F134" s="4"/>
      <c r="G134" s="4" t="s">
        <v>1967</v>
      </c>
      <c r="H134" s="4"/>
      <c r="I134" s="4"/>
      <c r="J134" s="4" t="s">
        <v>1968</v>
      </c>
      <c r="K134" s="4"/>
      <c r="L134" s="4" t="s">
        <v>219</v>
      </c>
      <c r="M134" s="4"/>
      <c r="N134" s="4"/>
      <c r="O134" s="4"/>
      <c r="P134" s="4"/>
      <c r="Q134" s="4"/>
      <c r="R134" s="4" t="s">
        <v>297</v>
      </c>
      <c r="S134" s="4" t="s">
        <v>297</v>
      </c>
      <c r="T134" s="4"/>
      <c r="U134" s="4" t="s">
        <v>1969</v>
      </c>
      <c r="V134" s="4"/>
      <c r="W134" s="4"/>
      <c r="X134" s="4"/>
      <c r="Y134" s="4" t="s">
        <v>439</v>
      </c>
      <c r="Z134" s="4"/>
      <c r="AA134" s="4"/>
      <c r="AB134" s="4"/>
      <c r="AC134" s="4" t="s">
        <v>439</v>
      </c>
      <c r="AD134" s="4"/>
      <c r="AE134" s="4"/>
      <c r="AF134" s="4"/>
      <c r="AG134" s="4" t="s">
        <v>70</v>
      </c>
      <c r="AH134" s="4"/>
      <c r="AI134" s="4"/>
      <c r="AJ134" s="4"/>
      <c r="AK134" s="4"/>
      <c r="AL134" s="4"/>
      <c r="AM134" s="4" t="s">
        <v>1970</v>
      </c>
      <c r="AN134" s="4"/>
      <c r="AO134" s="4" t="s">
        <v>1121</v>
      </c>
      <c r="AP134" s="4"/>
      <c r="AQ134" s="4" t="s">
        <v>1121</v>
      </c>
      <c r="AS134" s="4"/>
      <c r="AT134" s="4"/>
      <c r="AU134" s="4"/>
      <c r="AV134" s="4" t="s">
        <v>107</v>
      </c>
      <c r="AW134" s="4" t="s">
        <v>133</v>
      </c>
    </row>
    <row r="135" spans="1:49" x14ac:dyDescent="0.3">
      <c r="A135" s="4" t="s">
        <v>1018</v>
      </c>
      <c r="B135" s="4"/>
      <c r="C135" s="4" t="s">
        <v>84</v>
      </c>
      <c r="D135" s="4"/>
      <c r="E135" s="4" t="s">
        <v>177</v>
      </c>
      <c r="F135" s="4"/>
      <c r="G135" s="4" t="s">
        <v>1971</v>
      </c>
      <c r="H135" s="4"/>
      <c r="I135" s="4"/>
      <c r="J135" s="4" t="s">
        <v>712</v>
      </c>
      <c r="K135" s="4"/>
      <c r="L135" s="4" t="s">
        <v>1020</v>
      </c>
      <c r="M135" s="4"/>
      <c r="N135" s="4"/>
      <c r="O135" s="4"/>
      <c r="P135" s="4"/>
      <c r="Q135" s="4"/>
      <c r="R135" s="4" t="s">
        <v>378</v>
      </c>
      <c r="S135" s="4" t="s">
        <v>297</v>
      </c>
      <c r="T135" s="4"/>
      <c r="U135" s="4" t="s">
        <v>305</v>
      </c>
      <c r="V135" s="4"/>
      <c r="W135" s="4"/>
      <c r="X135" s="4"/>
      <c r="Y135" s="4" t="s">
        <v>1779</v>
      </c>
      <c r="Z135" s="4"/>
      <c r="AA135" s="4"/>
      <c r="AB135" s="4"/>
      <c r="AC135" s="4" t="s">
        <v>1972</v>
      </c>
      <c r="AD135" s="4"/>
      <c r="AE135" s="4"/>
      <c r="AF135" s="4"/>
      <c r="AG135" s="4" t="s">
        <v>300</v>
      </c>
      <c r="AH135" s="4"/>
      <c r="AI135" s="4"/>
      <c r="AJ135" s="4"/>
      <c r="AK135" s="4"/>
      <c r="AL135" s="4"/>
      <c r="AM135" s="4" t="s">
        <v>1973</v>
      </c>
      <c r="AN135" s="4"/>
      <c r="AO135" s="4" t="s">
        <v>1974</v>
      </c>
      <c r="AP135" s="4"/>
      <c r="AQ135" s="4" t="s">
        <v>1975</v>
      </c>
      <c r="AS135" s="4"/>
      <c r="AT135" s="4"/>
      <c r="AU135" s="4"/>
      <c r="AV135" s="4" t="s">
        <v>1026</v>
      </c>
      <c r="AW135" s="4" t="s">
        <v>1976</v>
      </c>
    </row>
    <row r="136" spans="1:49" x14ac:dyDescent="0.3">
      <c r="A136" s="4" t="s">
        <v>1028</v>
      </c>
      <c r="B136" s="4"/>
      <c r="C136" s="4" t="s">
        <v>298</v>
      </c>
      <c r="D136" s="4"/>
      <c r="E136" s="4" t="s">
        <v>298</v>
      </c>
      <c r="F136" s="4"/>
      <c r="G136" s="4" t="s">
        <v>1977</v>
      </c>
      <c r="H136" s="4"/>
      <c r="I136" s="4"/>
      <c r="J136" s="4" t="s">
        <v>138</v>
      </c>
      <c r="K136" s="4"/>
      <c r="L136" s="4" t="s">
        <v>1030</v>
      </c>
      <c r="M136" s="4"/>
      <c r="N136" s="4"/>
      <c r="O136" s="4"/>
      <c r="P136" s="4"/>
      <c r="Q136" s="4"/>
      <c r="R136" s="4" t="s">
        <v>1978</v>
      </c>
      <c r="S136" s="4" t="s">
        <v>1979</v>
      </c>
      <c r="T136" s="4"/>
      <c r="U136" s="4" t="s">
        <v>440</v>
      </c>
      <c r="V136" s="4"/>
      <c r="W136" s="4"/>
      <c r="X136" s="4"/>
      <c r="Y136" s="4" t="s">
        <v>1980</v>
      </c>
      <c r="Z136" s="4"/>
      <c r="AA136" s="4"/>
      <c r="AB136" s="4"/>
      <c r="AC136" s="4" t="s">
        <v>1981</v>
      </c>
      <c r="AD136" s="4"/>
      <c r="AE136" s="4"/>
      <c r="AF136" s="4"/>
      <c r="AG136" s="4" t="s">
        <v>134</v>
      </c>
      <c r="AH136" s="4"/>
      <c r="AI136" s="4"/>
      <c r="AJ136" s="4"/>
      <c r="AK136" s="4"/>
      <c r="AL136" s="4"/>
      <c r="AM136" s="4" t="s">
        <v>1982</v>
      </c>
      <c r="AN136" s="4"/>
      <c r="AO136" s="4" t="s">
        <v>881</v>
      </c>
      <c r="AP136" s="4"/>
      <c r="AQ136" s="4" t="s">
        <v>1033</v>
      </c>
      <c r="AS136" s="4"/>
      <c r="AT136" s="4"/>
      <c r="AU136" s="4"/>
      <c r="AV136" s="4" t="s">
        <v>70</v>
      </c>
      <c r="AW136" s="4" t="s">
        <v>71</v>
      </c>
    </row>
    <row r="137" spans="1:49" x14ac:dyDescent="0.3">
      <c r="A137" s="4" t="s">
        <v>1035</v>
      </c>
      <c r="B137" s="4"/>
      <c r="C137" s="4" t="s">
        <v>643</v>
      </c>
      <c r="D137" s="4"/>
      <c r="E137" s="4" t="s">
        <v>643</v>
      </c>
      <c r="F137" s="4"/>
      <c r="G137" s="4" t="s">
        <v>1621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 t="s">
        <v>1148</v>
      </c>
      <c r="S137" s="4" t="s">
        <v>304</v>
      </c>
      <c r="T137" s="4"/>
      <c r="U137" s="4" t="s">
        <v>1983</v>
      </c>
      <c r="V137" s="4"/>
      <c r="W137" s="4"/>
      <c r="X137" s="4"/>
      <c r="Y137" s="4" t="s">
        <v>539</v>
      </c>
      <c r="Z137" s="4"/>
      <c r="AA137" s="4"/>
      <c r="AB137" s="4"/>
      <c r="AC137" s="4" t="s">
        <v>539</v>
      </c>
      <c r="AD137" s="4"/>
      <c r="AE137" s="4"/>
      <c r="AF137" s="4"/>
      <c r="AG137" s="4" t="s">
        <v>391</v>
      </c>
      <c r="AH137" s="4"/>
      <c r="AI137" s="4"/>
      <c r="AJ137" s="4"/>
      <c r="AK137" s="4"/>
      <c r="AL137" s="4"/>
      <c r="AM137" s="4" t="s">
        <v>1984</v>
      </c>
      <c r="AN137" s="4"/>
      <c r="AO137" s="4" t="s">
        <v>70</v>
      </c>
      <c r="AP137" s="4"/>
      <c r="AQ137" s="4" t="s">
        <v>70</v>
      </c>
      <c r="AS137" s="4"/>
      <c r="AT137" s="4"/>
      <c r="AU137" s="4"/>
      <c r="AV137" s="4" t="s">
        <v>147</v>
      </c>
      <c r="AW137" s="4" t="s">
        <v>71</v>
      </c>
    </row>
    <row r="138" spans="1:49" x14ac:dyDescent="0.3">
      <c r="A138" s="4" t="s">
        <v>1039</v>
      </c>
      <c r="B138" s="4"/>
      <c r="C138" s="4" t="s">
        <v>553</v>
      </c>
      <c r="D138" s="4"/>
      <c r="E138" s="4" t="s">
        <v>368</v>
      </c>
      <c r="F138" s="4"/>
      <c r="G138" s="4" t="s">
        <v>1985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 t="s">
        <v>368</v>
      </c>
      <c r="S138" s="4" t="s">
        <v>304</v>
      </c>
      <c r="T138" s="4"/>
      <c r="U138" s="4"/>
      <c r="V138" s="4"/>
      <c r="W138" s="4" t="s">
        <v>1986</v>
      </c>
      <c r="X138" s="4"/>
      <c r="Y138" s="4"/>
      <c r="Z138" s="4"/>
      <c r="AA138" s="4"/>
      <c r="AB138" s="4" t="s">
        <v>539</v>
      </c>
      <c r="AC138" s="4"/>
      <c r="AD138" s="4"/>
      <c r="AE138" s="4" t="s">
        <v>539</v>
      </c>
      <c r="AF138" s="4" t="s">
        <v>301</v>
      </c>
      <c r="AG138" s="4"/>
      <c r="AH138" s="4"/>
      <c r="AI138" s="4"/>
      <c r="AJ138" s="4"/>
      <c r="AK138" s="4"/>
      <c r="AL138" s="4"/>
      <c r="AM138" s="4" t="s">
        <v>1987</v>
      </c>
      <c r="AN138" s="4"/>
      <c r="AO138" s="4" t="s">
        <v>94</v>
      </c>
      <c r="AP138" s="4"/>
      <c r="AQ138" s="4" t="s">
        <v>391</v>
      </c>
      <c r="AS138" s="4"/>
      <c r="AT138" s="4"/>
      <c r="AU138" s="4"/>
      <c r="AV138" s="4" t="s">
        <v>147</v>
      </c>
      <c r="AW138" s="4" t="s">
        <v>107</v>
      </c>
    </row>
    <row r="139" spans="1:49" x14ac:dyDescent="0.3">
      <c r="A139" s="4" t="s">
        <v>1046</v>
      </c>
      <c r="B139" s="4"/>
      <c r="C139" s="4" t="s">
        <v>1234</v>
      </c>
      <c r="D139" s="4"/>
      <c r="E139" s="4" t="s">
        <v>1234</v>
      </c>
      <c r="F139" s="4"/>
      <c r="G139" s="4" t="s">
        <v>1234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 t="s">
        <v>1234</v>
      </c>
      <c r="S139" s="4" t="s">
        <v>1234</v>
      </c>
      <c r="T139" s="4"/>
      <c r="U139" s="4"/>
      <c r="V139" s="4"/>
      <c r="W139" s="4" t="s">
        <v>1234</v>
      </c>
      <c r="X139" s="4"/>
      <c r="Y139" s="4"/>
      <c r="Z139" s="4"/>
      <c r="AA139" s="4"/>
      <c r="AB139" s="4" t="s">
        <v>1234</v>
      </c>
      <c r="AC139" s="4"/>
      <c r="AD139" s="4"/>
      <c r="AE139" s="4" t="s">
        <v>1234</v>
      </c>
      <c r="AF139" s="4" t="s">
        <v>1234</v>
      </c>
      <c r="AG139" s="4"/>
      <c r="AH139" s="4"/>
      <c r="AI139" s="4"/>
      <c r="AJ139" s="4"/>
      <c r="AK139" s="4"/>
      <c r="AL139" s="4"/>
      <c r="AM139" s="4" t="s">
        <v>1234</v>
      </c>
      <c r="AN139" s="4"/>
      <c r="AO139" s="4" t="s">
        <v>1234</v>
      </c>
      <c r="AP139" s="4"/>
      <c r="AQ139" s="4" t="s">
        <v>1234</v>
      </c>
      <c r="AS139" s="4"/>
      <c r="AT139" s="4"/>
      <c r="AU139" s="4"/>
      <c r="AV139" s="4" t="s">
        <v>1234</v>
      </c>
      <c r="AW139" s="4" t="s">
        <v>1234</v>
      </c>
    </row>
    <row r="140" spans="1:49" x14ac:dyDescent="0.3">
      <c r="A140" s="4" t="s">
        <v>1052</v>
      </c>
      <c r="B140" s="4"/>
      <c r="C140" s="4" t="s">
        <v>73</v>
      </c>
      <c r="D140" s="4"/>
      <c r="E140" s="4" t="s">
        <v>62</v>
      </c>
      <c r="F140" s="4"/>
      <c r="G140" s="4" t="s">
        <v>1988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 t="s">
        <v>304</v>
      </c>
      <c r="S140" s="4" t="s">
        <v>73</v>
      </c>
      <c r="T140" s="4"/>
      <c r="U140" s="4"/>
      <c r="V140" s="4"/>
      <c r="W140" s="4" t="s">
        <v>1989</v>
      </c>
      <c r="X140" s="4"/>
      <c r="Y140" s="4"/>
      <c r="Z140" s="4"/>
      <c r="AA140" s="4"/>
      <c r="AB140" s="4" t="s">
        <v>1103</v>
      </c>
      <c r="AC140" s="4"/>
      <c r="AD140" s="4"/>
      <c r="AE140" s="4" t="s">
        <v>368</v>
      </c>
      <c r="AF140" s="4" t="s">
        <v>134</v>
      </c>
      <c r="AG140" s="4"/>
      <c r="AH140" s="4"/>
      <c r="AI140" s="4"/>
      <c r="AJ140" s="4"/>
      <c r="AK140" s="4"/>
      <c r="AL140" s="4"/>
      <c r="AM140" s="4" t="s">
        <v>1990</v>
      </c>
      <c r="AN140" s="4"/>
      <c r="AO140" s="4" t="s">
        <v>770</v>
      </c>
      <c r="AP140" s="4"/>
      <c r="AQ140" s="4" t="s">
        <v>1252</v>
      </c>
      <c r="AS140" s="4"/>
      <c r="AT140" s="4"/>
      <c r="AU140" s="4"/>
      <c r="AV140" s="4" t="s">
        <v>70</v>
      </c>
      <c r="AW140" s="4" t="s">
        <v>107</v>
      </c>
    </row>
    <row r="141" spans="1:49" x14ac:dyDescent="0.3">
      <c r="A141" s="4" t="s">
        <v>1059</v>
      </c>
      <c r="B141" s="4"/>
      <c r="C141" s="4" t="s">
        <v>167</v>
      </c>
      <c r="D141" s="4"/>
      <c r="E141" s="4" t="s">
        <v>167</v>
      </c>
      <c r="F141" s="4"/>
      <c r="G141" s="4" t="s">
        <v>1991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 t="s">
        <v>756</v>
      </c>
      <c r="S141" s="4" t="s">
        <v>471</v>
      </c>
      <c r="T141" s="4"/>
      <c r="U141" s="4"/>
      <c r="V141" s="4"/>
      <c r="W141" s="4" t="s">
        <v>1992</v>
      </c>
      <c r="X141" s="4"/>
      <c r="Y141" s="4"/>
      <c r="Z141" s="4"/>
      <c r="AA141" s="4"/>
      <c r="AB141" s="4" t="s">
        <v>381</v>
      </c>
      <c r="AC141" s="4"/>
      <c r="AD141" s="4"/>
      <c r="AE141" s="4" t="s">
        <v>381</v>
      </c>
      <c r="AF141" s="4" t="s">
        <v>117</v>
      </c>
      <c r="AG141" s="4"/>
      <c r="AH141" s="4"/>
      <c r="AI141" s="4"/>
      <c r="AJ141" s="4"/>
      <c r="AK141" s="4"/>
      <c r="AL141" s="4"/>
      <c r="AM141" s="4" t="s">
        <v>1186</v>
      </c>
      <c r="AN141" s="4"/>
      <c r="AO141" s="4" t="s">
        <v>770</v>
      </c>
      <c r="AP141" s="4"/>
      <c r="AQ141" s="4" t="s">
        <v>446</v>
      </c>
      <c r="AS141" s="4"/>
      <c r="AT141" s="4"/>
      <c r="AU141" s="4"/>
      <c r="AV141" s="4" t="s">
        <v>172</v>
      </c>
      <c r="AW141" s="4" t="s">
        <v>133</v>
      </c>
    </row>
    <row r="142" spans="1:49" x14ac:dyDescent="0.3">
      <c r="A142" s="4" t="s">
        <v>1064</v>
      </c>
      <c r="B142" s="4"/>
      <c r="C142" s="4" t="s">
        <v>1234</v>
      </c>
      <c r="D142" s="4"/>
      <c r="E142" s="4" t="s">
        <v>1234</v>
      </c>
      <c r="F142" s="4"/>
      <c r="G142" s="4" t="s">
        <v>1234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 t="s">
        <v>1234</v>
      </c>
      <c r="S142" s="4" t="s">
        <v>1234</v>
      </c>
      <c r="T142" s="4"/>
      <c r="U142" s="4"/>
      <c r="V142" s="4"/>
      <c r="W142" s="4" t="s">
        <v>1234</v>
      </c>
      <c r="X142" s="4"/>
      <c r="Y142" s="4"/>
      <c r="Z142" s="4"/>
      <c r="AA142" s="4"/>
      <c r="AB142" s="4" t="s">
        <v>1234</v>
      </c>
      <c r="AC142" s="4"/>
      <c r="AD142" s="4"/>
      <c r="AE142" s="4" t="s">
        <v>1234</v>
      </c>
      <c r="AF142" s="4" t="s">
        <v>1234</v>
      </c>
      <c r="AG142" s="4"/>
      <c r="AH142" s="4"/>
      <c r="AI142" s="4"/>
      <c r="AJ142" s="4"/>
      <c r="AK142" s="4"/>
      <c r="AL142" s="4"/>
      <c r="AM142" s="4" t="s">
        <v>1234</v>
      </c>
      <c r="AN142" s="4"/>
      <c r="AO142" s="4" t="s">
        <v>1234</v>
      </c>
      <c r="AP142" s="4"/>
      <c r="AQ142" s="4" t="s">
        <v>1234</v>
      </c>
      <c r="AS142" s="4"/>
      <c r="AT142" s="4"/>
      <c r="AU142" s="4"/>
      <c r="AV142" s="4" t="s">
        <v>1234</v>
      </c>
      <c r="AW142" s="4" t="s">
        <v>1234</v>
      </c>
    </row>
    <row r="143" spans="1:49" x14ac:dyDescent="0.3">
      <c r="A143" s="4" t="s">
        <v>1069</v>
      </c>
      <c r="B143" s="4"/>
      <c r="C143" s="4" t="s">
        <v>167</v>
      </c>
      <c r="D143" s="4"/>
      <c r="E143" s="4" t="s">
        <v>73</v>
      </c>
      <c r="F143" s="4"/>
      <c r="G143" s="4" t="s">
        <v>1993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 t="s">
        <v>386</v>
      </c>
      <c r="S143" s="4" t="s">
        <v>305</v>
      </c>
      <c r="T143" s="4"/>
      <c r="U143" s="4" t="s">
        <v>459</v>
      </c>
      <c r="V143" s="4"/>
      <c r="W143" s="4"/>
      <c r="X143" s="4"/>
      <c r="Y143" s="4" t="s">
        <v>548</v>
      </c>
      <c r="Z143" s="4"/>
      <c r="AA143" s="4"/>
      <c r="AB143" s="4"/>
      <c r="AC143" s="4" t="s">
        <v>1224</v>
      </c>
      <c r="AD143" s="4"/>
      <c r="AE143" s="4"/>
      <c r="AF143" s="4"/>
      <c r="AG143" s="4" t="s">
        <v>439</v>
      </c>
      <c r="AH143" s="4"/>
      <c r="AI143" s="4"/>
      <c r="AJ143" s="4"/>
      <c r="AK143" s="4"/>
      <c r="AL143" s="4"/>
      <c r="AM143" s="4" t="s">
        <v>1994</v>
      </c>
      <c r="AN143" s="4"/>
      <c r="AO143" s="4" t="s">
        <v>264</v>
      </c>
      <c r="AP143" s="4"/>
      <c r="AQ143" s="4" t="s">
        <v>810</v>
      </c>
      <c r="AS143" s="4"/>
      <c r="AT143" s="4"/>
      <c r="AU143" s="4"/>
      <c r="AV143" s="4" t="s">
        <v>172</v>
      </c>
      <c r="AW143" s="4" t="s">
        <v>147</v>
      </c>
    </row>
    <row r="144" spans="1:49" x14ac:dyDescent="0.3">
      <c r="A144" s="4" t="s">
        <v>1073</v>
      </c>
      <c r="B144" s="4"/>
      <c r="C144" s="4" t="s">
        <v>73</v>
      </c>
      <c r="D144" s="4"/>
      <c r="E144" s="4" t="s">
        <v>194</v>
      </c>
      <c r="F144" s="4"/>
      <c r="G144" s="4" t="s">
        <v>1995</v>
      </c>
      <c r="H144" s="4"/>
      <c r="I144" s="4"/>
      <c r="J144" s="4" t="s">
        <v>307</v>
      </c>
      <c r="K144" s="4"/>
      <c r="L144" s="4" t="s">
        <v>443</v>
      </c>
      <c r="M144" s="4"/>
      <c r="N144" s="4"/>
      <c r="O144" s="4"/>
      <c r="P144" s="4"/>
      <c r="Q144" s="4"/>
      <c r="R144" s="4" t="s">
        <v>553</v>
      </c>
      <c r="S144" s="4" t="s">
        <v>49</v>
      </c>
      <c r="T144" s="4"/>
      <c r="U144" s="4" t="s">
        <v>160</v>
      </c>
      <c r="V144" s="4"/>
      <c r="W144" s="4"/>
      <c r="X144" s="4"/>
      <c r="Y144" s="4" t="s">
        <v>429</v>
      </c>
      <c r="Z144" s="4"/>
      <c r="AA144" s="4"/>
      <c r="AB144" s="4"/>
      <c r="AC144" s="4" t="s">
        <v>1996</v>
      </c>
      <c r="AD144" s="4"/>
      <c r="AE144" s="4"/>
      <c r="AF144" s="4"/>
      <c r="AG144" s="4" t="s">
        <v>63</v>
      </c>
      <c r="AH144" s="4"/>
      <c r="AI144" s="4"/>
      <c r="AJ144" s="4"/>
      <c r="AK144" s="4"/>
      <c r="AL144" s="4"/>
      <c r="AM144" s="4" t="s">
        <v>1997</v>
      </c>
      <c r="AN144" s="4"/>
      <c r="AO144" s="4" t="s">
        <v>294</v>
      </c>
      <c r="AP144" s="4"/>
      <c r="AQ144" s="4" t="s">
        <v>745</v>
      </c>
      <c r="AS144" s="4"/>
      <c r="AT144" s="4"/>
      <c r="AU144" s="4"/>
      <c r="AV144" s="4" t="s">
        <v>172</v>
      </c>
      <c r="AW144" s="4" t="s">
        <v>107</v>
      </c>
    </row>
    <row r="145" spans="1:49" x14ac:dyDescent="0.3">
      <c r="A145" s="4" t="s">
        <v>1079</v>
      </c>
      <c r="B145" s="4"/>
      <c r="C145" s="4" t="s">
        <v>304</v>
      </c>
      <c r="D145" s="4"/>
      <c r="E145" s="4" t="s">
        <v>50</v>
      </c>
      <c r="F145" s="4"/>
      <c r="G145" s="4" t="s">
        <v>1998</v>
      </c>
      <c r="H145" s="4"/>
      <c r="I145" s="4"/>
      <c r="J145" s="4" t="s">
        <v>67</v>
      </c>
      <c r="K145" s="4"/>
      <c r="L145" s="4" t="s">
        <v>1599</v>
      </c>
      <c r="M145" s="4"/>
      <c r="N145" s="4"/>
      <c r="O145" s="4"/>
      <c r="P145" s="4"/>
      <c r="Q145" s="4"/>
      <c r="R145" s="4" t="s">
        <v>525</v>
      </c>
      <c r="S145" s="4" t="s">
        <v>304</v>
      </c>
      <c r="T145" s="4"/>
      <c r="U145" s="4" t="s">
        <v>1618</v>
      </c>
      <c r="V145" s="4"/>
      <c r="W145" s="4"/>
      <c r="X145" s="4"/>
      <c r="Y145" s="4" t="s">
        <v>1618</v>
      </c>
      <c r="Z145" s="4"/>
      <c r="AA145" s="4"/>
      <c r="AB145" s="4"/>
      <c r="AC145" s="4" t="s">
        <v>1083</v>
      </c>
      <c r="AD145" s="4"/>
      <c r="AE145" s="4"/>
      <c r="AF145" s="4"/>
      <c r="AG145" s="4" t="s">
        <v>55</v>
      </c>
      <c r="AH145" s="4"/>
      <c r="AI145" s="4"/>
      <c r="AJ145" s="4"/>
      <c r="AK145" s="4"/>
      <c r="AL145" s="4"/>
      <c r="AM145" s="4" t="s">
        <v>1999</v>
      </c>
      <c r="AN145" s="4"/>
      <c r="AO145" s="4" t="s">
        <v>440</v>
      </c>
      <c r="AP145" s="4"/>
      <c r="AQ145" s="4" t="s">
        <v>307</v>
      </c>
      <c r="AS145" s="4"/>
      <c r="AT145" s="4"/>
      <c r="AU145" s="4"/>
      <c r="AV145" s="4" t="s">
        <v>172</v>
      </c>
      <c r="AW145" s="4" t="s">
        <v>107</v>
      </c>
    </row>
    <row r="146" spans="1:49" x14ac:dyDescent="0.3">
      <c r="A146" s="4" t="s">
        <v>1084</v>
      </c>
      <c r="B146" s="4"/>
      <c r="C146" s="4" t="s">
        <v>386</v>
      </c>
      <c r="D146" s="4"/>
      <c r="E146" s="4" t="s">
        <v>298</v>
      </c>
      <c r="F146" s="4"/>
      <c r="G146" s="4" t="s">
        <v>2000</v>
      </c>
      <c r="H146" s="4"/>
      <c r="I146" s="4"/>
      <c r="J146" s="4" t="s">
        <v>712</v>
      </c>
      <c r="K146" s="4"/>
      <c r="L146" s="4" t="s">
        <v>1005</v>
      </c>
      <c r="M146" s="4"/>
      <c r="N146" s="4"/>
      <c r="O146" s="4"/>
      <c r="P146" s="4"/>
      <c r="Q146" s="4"/>
      <c r="R146" s="4" t="s">
        <v>449</v>
      </c>
      <c r="S146" s="4" t="s">
        <v>297</v>
      </c>
      <c r="T146" s="4"/>
      <c r="U146" s="4" t="s">
        <v>1627</v>
      </c>
      <c r="V146" s="4"/>
      <c r="W146" s="4"/>
      <c r="X146" s="4"/>
      <c r="Y146" s="4" t="s">
        <v>1086</v>
      </c>
      <c r="Z146" s="4"/>
      <c r="AA146" s="4"/>
      <c r="AB146" s="4"/>
      <c r="AC146" s="4" t="s">
        <v>548</v>
      </c>
      <c r="AD146" s="4"/>
      <c r="AE146" s="4"/>
      <c r="AF146" s="4"/>
      <c r="AG146" s="4" t="s">
        <v>117</v>
      </c>
      <c r="AH146" s="4"/>
      <c r="AI146" s="4"/>
      <c r="AJ146" s="4"/>
      <c r="AK146" s="4"/>
      <c r="AL146" s="4"/>
      <c r="AM146" s="4" t="s">
        <v>2001</v>
      </c>
      <c r="AN146" s="4"/>
      <c r="AO146" s="4" t="s">
        <v>307</v>
      </c>
      <c r="AP146" s="4"/>
      <c r="AQ146" s="4" t="s">
        <v>294</v>
      </c>
      <c r="AS146" s="4"/>
      <c r="AT146" s="4"/>
      <c r="AU146" s="4"/>
      <c r="AV146" s="4" t="s">
        <v>70</v>
      </c>
      <c r="AW146" s="4" t="s">
        <v>60</v>
      </c>
    </row>
    <row r="147" spans="1:49" x14ac:dyDescent="0.3">
      <c r="A147" s="4" t="s">
        <v>1089</v>
      </c>
      <c r="B147" s="4"/>
      <c r="C147" s="4" t="s">
        <v>553</v>
      </c>
      <c r="D147" s="4"/>
      <c r="E147" s="4" t="s">
        <v>49</v>
      </c>
      <c r="F147" s="4"/>
      <c r="G147" s="4" t="s">
        <v>2002</v>
      </c>
      <c r="H147" s="4"/>
      <c r="I147" s="4"/>
      <c r="J147" s="4" t="s">
        <v>1949</v>
      </c>
      <c r="K147" s="4"/>
      <c r="L147" s="4" t="s">
        <v>1091</v>
      </c>
      <c r="M147" s="4"/>
      <c r="N147" s="4"/>
      <c r="O147" s="4"/>
      <c r="P147" s="4"/>
      <c r="Q147" s="4"/>
      <c r="R147" s="4" t="s">
        <v>449</v>
      </c>
      <c r="S147" s="4" t="s">
        <v>297</v>
      </c>
      <c r="T147" s="4"/>
      <c r="U147" s="4" t="s">
        <v>1147</v>
      </c>
      <c r="V147" s="4"/>
      <c r="W147" s="4"/>
      <c r="X147" s="4"/>
      <c r="Y147" s="4" t="s">
        <v>638</v>
      </c>
      <c r="Z147" s="4"/>
      <c r="AA147" s="4"/>
      <c r="AB147" s="4"/>
      <c r="AC147" s="4" t="s">
        <v>575</v>
      </c>
      <c r="AD147" s="4"/>
      <c r="AE147" s="4"/>
      <c r="AF147" s="4"/>
      <c r="AG147" s="4" t="s">
        <v>134</v>
      </c>
      <c r="AH147" s="4"/>
      <c r="AI147" s="4"/>
      <c r="AJ147" s="4"/>
      <c r="AK147" s="4"/>
      <c r="AL147" s="4"/>
      <c r="AM147" s="4" t="s">
        <v>2003</v>
      </c>
      <c r="AN147" s="4"/>
      <c r="AO147" s="4" t="s">
        <v>94</v>
      </c>
      <c r="AP147" s="4"/>
      <c r="AQ147" s="4" t="s">
        <v>383</v>
      </c>
      <c r="AS147" s="4"/>
      <c r="AT147" s="4"/>
      <c r="AU147" s="4"/>
      <c r="AV147" s="4" t="s">
        <v>172</v>
      </c>
      <c r="AW147" s="4" t="s">
        <v>71</v>
      </c>
    </row>
    <row r="148" spans="1:49" x14ac:dyDescent="0.3">
      <c r="A148" s="4" t="s">
        <v>1095</v>
      </c>
      <c r="B148" s="4"/>
      <c r="C148" s="4" t="s">
        <v>643</v>
      </c>
      <c r="D148" s="4"/>
      <c r="E148" s="4" t="s">
        <v>643</v>
      </c>
      <c r="F148" s="4"/>
      <c r="G148" s="4" t="s">
        <v>1108</v>
      </c>
      <c r="H148" s="4"/>
      <c r="I148" s="4"/>
      <c r="J148" s="4" t="s">
        <v>1599</v>
      </c>
      <c r="K148" s="4"/>
      <c r="L148" s="4" t="s">
        <v>2004</v>
      </c>
      <c r="M148" s="4"/>
      <c r="N148" s="4"/>
      <c r="O148" s="4"/>
      <c r="P148" s="4"/>
      <c r="Q148" s="4"/>
      <c r="R148" s="4" t="s">
        <v>643</v>
      </c>
      <c r="S148" s="4" t="s">
        <v>471</v>
      </c>
      <c r="T148" s="4"/>
      <c r="U148" s="4" t="s">
        <v>1147</v>
      </c>
      <c r="V148" s="4"/>
      <c r="W148" s="4"/>
      <c r="X148" s="4"/>
      <c r="Y148" s="4" t="s">
        <v>575</v>
      </c>
      <c r="Z148" s="4"/>
      <c r="AA148" s="4"/>
      <c r="AB148" s="4"/>
      <c r="AC148" s="4" t="s">
        <v>575</v>
      </c>
      <c r="AD148" s="4"/>
      <c r="AE148" s="4"/>
      <c r="AF148" s="4"/>
      <c r="AG148" s="4" t="s">
        <v>263</v>
      </c>
      <c r="AH148" s="4"/>
      <c r="AI148" s="4"/>
      <c r="AJ148" s="4"/>
      <c r="AK148" s="4"/>
      <c r="AL148" s="4"/>
      <c r="AM148" s="4" t="s">
        <v>2005</v>
      </c>
      <c r="AN148" s="4"/>
      <c r="AO148" s="4" t="s">
        <v>521</v>
      </c>
      <c r="AP148" s="4"/>
      <c r="AQ148" s="4" t="s">
        <v>521</v>
      </c>
      <c r="AS148" s="4"/>
      <c r="AT148" s="4"/>
      <c r="AU148" s="4"/>
      <c r="AV148" s="4" t="s">
        <v>107</v>
      </c>
      <c r="AW148" s="4" t="s">
        <v>107</v>
      </c>
    </row>
    <row r="149" spans="1:49" x14ac:dyDescent="0.3">
      <c r="A149" s="4" t="s">
        <v>1101</v>
      </c>
      <c r="B149" s="4"/>
      <c r="C149" s="4" t="s">
        <v>525</v>
      </c>
      <c r="D149" s="4"/>
      <c r="E149" s="4" t="s">
        <v>386</v>
      </c>
      <c r="F149" s="4"/>
      <c r="G149" s="4" t="s">
        <v>449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 t="s">
        <v>809</v>
      </c>
      <c r="S149" s="4" t="s">
        <v>844</v>
      </c>
      <c r="T149" s="4"/>
      <c r="U149" s="4" t="s">
        <v>643</v>
      </c>
      <c r="V149" s="4"/>
      <c r="W149" s="4"/>
      <c r="X149" s="4"/>
      <c r="Y149" s="4" t="s">
        <v>381</v>
      </c>
      <c r="Z149" s="4"/>
      <c r="AA149" s="4"/>
      <c r="AB149" s="4"/>
      <c r="AC149" s="4" t="s">
        <v>1148</v>
      </c>
      <c r="AD149" s="4"/>
      <c r="AE149" s="4"/>
      <c r="AF149" s="4"/>
      <c r="AG149" s="4" t="s">
        <v>228</v>
      </c>
      <c r="AH149" s="4"/>
      <c r="AI149" s="4"/>
      <c r="AJ149" s="4"/>
      <c r="AK149" s="4"/>
      <c r="AL149" s="4"/>
      <c r="AM149" s="4" t="s">
        <v>439</v>
      </c>
      <c r="AN149" s="4"/>
      <c r="AO149" s="4" t="s">
        <v>55</v>
      </c>
      <c r="AP149" s="4"/>
      <c r="AQ149" s="4" t="s">
        <v>71</v>
      </c>
      <c r="AS149" s="4"/>
      <c r="AT149" s="4"/>
      <c r="AU149" s="4"/>
      <c r="AV149" s="4" t="s">
        <v>172</v>
      </c>
      <c r="AW149" s="4" t="s">
        <v>107</v>
      </c>
    </row>
    <row r="150" spans="1:49" x14ac:dyDescent="0.3">
      <c r="A150" s="4" t="s">
        <v>1106</v>
      </c>
      <c r="B150" s="4"/>
      <c r="C150" s="4" t="s">
        <v>460</v>
      </c>
      <c r="D150" s="4"/>
      <c r="E150" s="4" t="s">
        <v>570</v>
      </c>
      <c r="F150" s="4"/>
      <c r="G150" s="4" t="s">
        <v>207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 t="s">
        <v>1828</v>
      </c>
      <c r="S150" s="4" t="s">
        <v>471</v>
      </c>
      <c r="T150" s="4"/>
      <c r="U150" s="4"/>
      <c r="V150" s="4"/>
      <c r="W150" s="4" t="s">
        <v>97</v>
      </c>
      <c r="X150" s="4"/>
      <c r="Y150" s="4"/>
      <c r="Z150" s="4"/>
      <c r="AA150" s="4"/>
      <c r="AB150" s="4" t="s">
        <v>1092</v>
      </c>
      <c r="AC150" s="4"/>
      <c r="AD150" s="4"/>
      <c r="AE150" s="4" t="s">
        <v>1627</v>
      </c>
      <c r="AF150" s="4" t="s">
        <v>482</v>
      </c>
      <c r="AG150" s="4"/>
      <c r="AH150" s="4"/>
      <c r="AI150" s="4"/>
      <c r="AJ150" s="4"/>
      <c r="AK150" s="4"/>
      <c r="AL150" s="4"/>
      <c r="AM150" s="4" t="s">
        <v>2006</v>
      </c>
      <c r="AN150" s="4"/>
      <c r="AO150" s="4" t="s">
        <v>321</v>
      </c>
      <c r="AP150" s="4"/>
      <c r="AQ150" s="4" t="s">
        <v>357</v>
      </c>
      <c r="AS150" s="4"/>
      <c r="AT150" s="4"/>
      <c r="AU150" s="4"/>
      <c r="AV150" s="4" t="s">
        <v>70</v>
      </c>
      <c r="AW150" s="4" t="s">
        <v>71</v>
      </c>
    </row>
    <row r="151" spans="1:49" x14ac:dyDescent="0.3">
      <c r="A151" s="4" t="s">
        <v>1110</v>
      </c>
      <c r="B151" s="4"/>
      <c r="C151" s="4" t="s">
        <v>570</v>
      </c>
      <c r="D151" s="4"/>
      <c r="E151" s="4" t="s">
        <v>172</v>
      </c>
      <c r="F151" s="4"/>
      <c r="G151" s="4" t="s">
        <v>488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 t="s">
        <v>1228</v>
      </c>
      <c r="S151" s="4" t="s">
        <v>638</v>
      </c>
      <c r="T151" s="4"/>
      <c r="U151" s="4"/>
      <c r="V151" s="4"/>
      <c r="W151" s="4" t="s">
        <v>1224</v>
      </c>
      <c r="X151" s="4"/>
      <c r="Y151" s="4"/>
      <c r="Z151" s="4"/>
      <c r="AA151" s="4"/>
      <c r="AB151" s="4" t="s">
        <v>430</v>
      </c>
      <c r="AC151" s="4"/>
      <c r="AD151" s="4"/>
      <c r="AE151" s="4" t="s">
        <v>1098</v>
      </c>
      <c r="AF151" s="4" t="s">
        <v>172</v>
      </c>
      <c r="AG151" s="4"/>
      <c r="AH151" s="4"/>
      <c r="AI151" s="4"/>
      <c r="AJ151" s="4"/>
      <c r="AK151" s="4"/>
      <c r="AL151" s="4"/>
      <c r="AM151" s="4" t="s">
        <v>698</v>
      </c>
      <c r="AN151" s="4"/>
      <c r="AO151" s="4" t="s">
        <v>1071</v>
      </c>
      <c r="AP151" s="4"/>
      <c r="AQ151" s="4" t="s">
        <v>1114</v>
      </c>
      <c r="AS151" s="4"/>
      <c r="AT151" s="4"/>
      <c r="AU151" s="4"/>
      <c r="AV151" s="4" t="s">
        <v>1116</v>
      </c>
      <c r="AW151" s="4" t="s">
        <v>107</v>
      </c>
    </row>
    <row r="152" spans="1:49" x14ac:dyDescent="0.3">
      <c r="A152" s="4" t="s">
        <v>1117</v>
      </c>
      <c r="B152" s="4"/>
      <c r="C152" s="4" t="s">
        <v>74</v>
      </c>
      <c r="D152" s="4"/>
      <c r="E152" s="4" t="s">
        <v>707</v>
      </c>
      <c r="F152" s="4"/>
      <c r="G152" s="4" t="s">
        <v>453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 t="s">
        <v>380</v>
      </c>
      <c r="S152" s="4" t="s">
        <v>297</v>
      </c>
      <c r="T152" s="4"/>
      <c r="U152" s="4"/>
      <c r="V152" s="4"/>
      <c r="W152" s="4" t="s">
        <v>525</v>
      </c>
      <c r="X152" s="4"/>
      <c r="Y152" s="4"/>
      <c r="Z152" s="4"/>
      <c r="AA152" s="4"/>
      <c r="AB152" s="4" t="s">
        <v>1098</v>
      </c>
      <c r="AC152" s="4"/>
      <c r="AD152" s="4"/>
      <c r="AE152" s="4" t="s">
        <v>363</v>
      </c>
      <c r="AF152" s="4" t="s">
        <v>90</v>
      </c>
      <c r="AG152" s="4"/>
      <c r="AH152" s="4"/>
      <c r="AI152" s="4"/>
      <c r="AJ152" s="4"/>
      <c r="AK152" s="4"/>
      <c r="AL152" s="4"/>
      <c r="AM152" s="4" t="s">
        <v>2007</v>
      </c>
      <c r="AN152" s="4"/>
      <c r="AO152" s="4" t="s">
        <v>1121</v>
      </c>
      <c r="AP152" s="4"/>
      <c r="AQ152" s="4" t="s">
        <v>211</v>
      </c>
      <c r="AS152" s="4"/>
      <c r="AT152" s="4"/>
      <c r="AU152" s="4"/>
      <c r="AV152" s="4" t="s">
        <v>55</v>
      </c>
      <c r="AW152" s="4" t="s">
        <v>107</v>
      </c>
    </row>
    <row r="153" spans="1:49" x14ac:dyDescent="0.3">
      <c r="A153" s="4" t="s">
        <v>1123</v>
      </c>
      <c r="B153" s="4"/>
      <c r="C153" s="4" t="s">
        <v>177</v>
      </c>
      <c r="D153" s="4"/>
      <c r="E153" s="4" t="s">
        <v>724</v>
      </c>
      <c r="F153" s="4"/>
      <c r="G153" s="4" t="s">
        <v>304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 t="s">
        <v>548</v>
      </c>
      <c r="S153" s="4" t="s">
        <v>1226</v>
      </c>
      <c r="T153" s="4"/>
      <c r="U153" s="4"/>
      <c r="V153" s="4"/>
      <c r="W153" s="4" t="s">
        <v>372</v>
      </c>
      <c r="X153" s="4"/>
      <c r="Y153" s="4"/>
      <c r="Z153" s="4"/>
      <c r="AA153" s="4"/>
      <c r="AB153" s="4" t="s">
        <v>381</v>
      </c>
      <c r="AC153" s="4"/>
      <c r="AD153" s="4"/>
      <c r="AE153" s="4" t="s">
        <v>371</v>
      </c>
      <c r="AF153" s="4" t="s">
        <v>158</v>
      </c>
      <c r="AG153" s="4"/>
      <c r="AH153" s="4"/>
      <c r="AI153" s="4"/>
      <c r="AJ153" s="4"/>
      <c r="AK153" s="4"/>
      <c r="AL153" s="4"/>
      <c r="AM153" s="4" t="s">
        <v>117</v>
      </c>
      <c r="AN153" s="4"/>
      <c r="AO153" s="4" t="s">
        <v>347</v>
      </c>
      <c r="AP153" s="4"/>
      <c r="AQ153" s="4" t="s">
        <v>443</v>
      </c>
      <c r="AS153" s="4"/>
      <c r="AT153" s="4"/>
      <c r="AU153" s="4"/>
      <c r="AV153" s="4" t="s">
        <v>59</v>
      </c>
      <c r="AW153" s="4" t="s">
        <v>228</v>
      </c>
    </row>
    <row r="154" spans="1:49" x14ac:dyDescent="0.3">
      <c r="A154" s="4" t="s">
        <v>1127</v>
      </c>
      <c r="B154" s="4"/>
      <c r="C154" s="4" t="s">
        <v>245</v>
      </c>
      <c r="D154" s="4"/>
      <c r="E154" s="4" t="s">
        <v>133</v>
      </c>
      <c r="F154" s="4"/>
      <c r="G154" s="4" t="s">
        <v>2008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 t="s">
        <v>539</v>
      </c>
      <c r="S154" s="4" t="s">
        <v>471</v>
      </c>
      <c r="T154" s="4"/>
      <c r="U154" s="4"/>
      <c r="V154" s="4"/>
      <c r="W154" s="4" t="s">
        <v>1368</v>
      </c>
      <c r="X154" s="4"/>
      <c r="Y154" s="4"/>
      <c r="Z154" s="4"/>
      <c r="AA154" s="4"/>
      <c r="AB154" s="4" t="s">
        <v>409</v>
      </c>
      <c r="AC154" s="4"/>
      <c r="AD154" s="4"/>
      <c r="AE154" s="4" t="s">
        <v>1129</v>
      </c>
      <c r="AF154" s="4" t="s">
        <v>79</v>
      </c>
      <c r="AG154" s="4"/>
      <c r="AH154" s="4"/>
      <c r="AI154" s="4"/>
      <c r="AJ154" s="4"/>
      <c r="AK154" s="4"/>
      <c r="AL154" s="4"/>
      <c r="AM154" s="4" t="s">
        <v>2009</v>
      </c>
      <c r="AN154" s="4"/>
      <c r="AO154" s="4" t="s">
        <v>810</v>
      </c>
      <c r="AP154" s="4"/>
      <c r="AQ154" s="4" t="s">
        <v>1132</v>
      </c>
      <c r="AS154" s="4"/>
      <c r="AT154" s="4"/>
      <c r="AU154" s="4"/>
      <c r="AV154" s="4" t="s">
        <v>55</v>
      </c>
      <c r="AW154" s="4" t="s">
        <v>107</v>
      </c>
    </row>
    <row r="155" spans="1:49" x14ac:dyDescent="0.3">
      <c r="A155" s="4" t="s">
        <v>1134</v>
      </c>
      <c r="B155" s="4"/>
      <c r="C155" s="4" t="s">
        <v>73</v>
      </c>
      <c r="D155" s="4"/>
      <c r="E155" s="4" t="s">
        <v>403</v>
      </c>
      <c r="F155" s="4"/>
      <c r="G155" s="4" t="s">
        <v>433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 t="s">
        <v>372</v>
      </c>
      <c r="S155" s="4" t="s">
        <v>297</v>
      </c>
      <c r="T155" s="4"/>
      <c r="U155" s="4" t="s">
        <v>1484</v>
      </c>
      <c r="V155" s="4"/>
      <c r="W155" s="4"/>
      <c r="X155" s="4"/>
      <c r="Y155" s="1" t="s">
        <v>73</v>
      </c>
      <c r="Z155" s="4"/>
      <c r="AA155" s="4"/>
      <c r="AB155" s="4"/>
      <c r="AC155" s="1" t="s">
        <v>724</v>
      </c>
      <c r="AD155" s="4"/>
      <c r="AE155" s="4"/>
      <c r="AF155" s="4"/>
      <c r="AG155" s="4" t="s">
        <v>79</v>
      </c>
      <c r="AH155" s="4"/>
      <c r="AI155" s="4"/>
      <c r="AJ155" s="4"/>
      <c r="AK155" s="4"/>
      <c r="AL155" s="4"/>
      <c r="AM155" s="4" t="s">
        <v>2010</v>
      </c>
      <c r="AN155" s="4"/>
      <c r="AO155" s="4" t="s">
        <v>1137</v>
      </c>
      <c r="AP155" s="4"/>
      <c r="AQ155" s="4" t="s">
        <v>1138</v>
      </c>
      <c r="AS155" s="4"/>
      <c r="AT155" s="4"/>
      <c r="AU155" s="4"/>
      <c r="AV155" s="4" t="s">
        <v>172</v>
      </c>
      <c r="AW155" s="4" t="s">
        <v>71</v>
      </c>
    </row>
    <row r="156" spans="1:49" x14ac:dyDescent="0.3">
      <c r="A156" s="4" t="s">
        <v>1140</v>
      </c>
      <c r="B156" s="4"/>
      <c r="C156" s="4" t="s">
        <v>386</v>
      </c>
      <c r="D156" s="4"/>
      <c r="E156" s="4" t="s">
        <v>471</v>
      </c>
      <c r="F156" s="4"/>
      <c r="G156" s="4" t="s">
        <v>844</v>
      </c>
      <c r="H156" s="4"/>
      <c r="I156" s="4"/>
      <c r="J156" s="4" t="s">
        <v>443</v>
      </c>
      <c r="K156" s="4"/>
      <c r="L156" s="4" t="s">
        <v>1142</v>
      </c>
      <c r="M156" s="4"/>
      <c r="N156" s="4"/>
      <c r="O156" s="4"/>
      <c r="P156" s="4"/>
      <c r="Q156" s="4"/>
      <c r="R156" s="4" t="s">
        <v>575</v>
      </c>
      <c r="S156" s="4" t="s">
        <v>438</v>
      </c>
      <c r="T156" s="4"/>
      <c r="U156" s="4" t="s">
        <v>1226</v>
      </c>
      <c r="V156" s="4"/>
      <c r="W156" s="4"/>
      <c r="X156" s="4"/>
      <c r="Y156" s="4" t="s">
        <v>429</v>
      </c>
      <c r="Z156" s="4"/>
      <c r="AA156" s="4"/>
      <c r="AB156" s="4"/>
      <c r="AC156" s="4" t="s">
        <v>430</v>
      </c>
      <c r="AD156" s="4"/>
      <c r="AE156" s="4"/>
      <c r="AF156" s="4"/>
      <c r="AG156" s="4" t="s">
        <v>79</v>
      </c>
      <c r="AH156" s="4"/>
      <c r="AI156" s="4"/>
      <c r="AJ156" s="4"/>
      <c r="AK156" s="4"/>
      <c r="AL156" s="4"/>
      <c r="AM156" s="4" t="s">
        <v>245</v>
      </c>
      <c r="AN156" s="4"/>
      <c r="AO156" s="4" t="s">
        <v>714</v>
      </c>
      <c r="AP156" s="4"/>
      <c r="AQ156" s="4" t="s">
        <v>462</v>
      </c>
      <c r="AS156" s="4"/>
      <c r="AT156" s="4"/>
      <c r="AU156" s="4"/>
      <c r="AV156" s="4" t="s">
        <v>172</v>
      </c>
      <c r="AW156" s="4" t="s">
        <v>60</v>
      </c>
    </row>
    <row r="157" spans="1:49" x14ac:dyDescent="0.3">
      <c r="A157" s="4" t="s">
        <v>1144</v>
      </c>
      <c r="B157" s="4"/>
      <c r="C157" s="4" t="s">
        <v>50</v>
      </c>
      <c r="D157" s="4"/>
      <c r="E157" s="4" t="s">
        <v>403</v>
      </c>
      <c r="F157" s="4"/>
      <c r="G157" s="4" t="s">
        <v>2011</v>
      </c>
      <c r="H157" s="4"/>
      <c r="I157" s="4"/>
      <c r="J157" s="4" t="s">
        <v>712</v>
      </c>
      <c r="K157" s="4"/>
      <c r="L157" s="4" t="s">
        <v>1146</v>
      </c>
      <c r="M157" s="4"/>
      <c r="N157" s="4"/>
      <c r="O157" s="4"/>
      <c r="P157" s="4"/>
      <c r="Q157" s="4"/>
      <c r="R157" s="4" t="s">
        <v>844</v>
      </c>
      <c r="S157" s="4" t="s">
        <v>96</v>
      </c>
      <c r="T157" s="4"/>
      <c r="U157" s="4" t="s">
        <v>460</v>
      </c>
      <c r="V157" s="4"/>
      <c r="W157" s="4"/>
      <c r="X157" s="4"/>
      <c r="Y157" s="4" t="s">
        <v>1147</v>
      </c>
      <c r="Z157" s="4"/>
      <c r="AA157" s="4"/>
      <c r="AB157" s="4"/>
      <c r="AC157" s="4" t="s">
        <v>1148</v>
      </c>
      <c r="AD157" s="4"/>
      <c r="AE157" s="4"/>
      <c r="AF157" s="4"/>
      <c r="AG157" s="4" t="s">
        <v>79</v>
      </c>
      <c r="AH157" s="4"/>
      <c r="AI157" s="4"/>
      <c r="AJ157" s="4"/>
      <c r="AK157" s="4"/>
      <c r="AL157" s="4"/>
      <c r="AM157" s="4" t="s">
        <v>2012</v>
      </c>
      <c r="AN157" s="4"/>
      <c r="AO157" s="4" t="s">
        <v>440</v>
      </c>
      <c r="AP157" s="4"/>
      <c r="AQ157" s="4" t="s">
        <v>810</v>
      </c>
      <c r="AS157" s="4"/>
      <c r="AT157" s="4"/>
      <c r="AU157" s="4"/>
      <c r="AV157" s="4" t="s">
        <v>172</v>
      </c>
      <c r="AW157" s="4" t="s">
        <v>158</v>
      </c>
    </row>
    <row r="158" spans="1:49" x14ac:dyDescent="0.3">
      <c r="A158" s="4" t="s">
        <v>1151</v>
      </c>
      <c r="B158" s="4"/>
      <c r="C158" s="8" t="s">
        <v>123</v>
      </c>
      <c r="D158" s="4"/>
      <c r="E158" s="4" t="s">
        <v>714</v>
      </c>
      <c r="F158" s="4"/>
      <c r="G158" s="4" t="s">
        <v>2013</v>
      </c>
      <c r="H158" s="4"/>
      <c r="I158" s="4"/>
      <c r="J158" s="4" t="s">
        <v>1153</v>
      </c>
      <c r="K158" s="4"/>
      <c r="L158" s="4" t="s">
        <v>1154</v>
      </c>
      <c r="M158" s="4"/>
      <c r="N158" s="4"/>
      <c r="O158" s="4"/>
      <c r="P158" s="4"/>
      <c r="Q158" s="4"/>
      <c r="R158" s="4" t="s">
        <v>698</v>
      </c>
      <c r="S158" s="4" t="s">
        <v>511</v>
      </c>
      <c r="T158" s="4"/>
      <c r="U158" s="4" t="s">
        <v>2014</v>
      </c>
      <c r="V158" s="4"/>
      <c r="W158" s="4"/>
      <c r="X158" s="4"/>
      <c r="Y158" s="1" t="s">
        <v>432</v>
      </c>
      <c r="Z158" s="4"/>
      <c r="AA158" s="4"/>
      <c r="AB158" s="4"/>
      <c r="AC158" s="1" t="s">
        <v>729</v>
      </c>
      <c r="AD158" s="4"/>
      <c r="AE158" s="4"/>
      <c r="AF158" s="4"/>
      <c r="AG158" s="4" t="s">
        <v>70</v>
      </c>
      <c r="AH158" s="4"/>
      <c r="AI158" s="4"/>
      <c r="AJ158" s="4"/>
      <c r="AK158" s="4"/>
      <c r="AL158" s="4"/>
      <c r="AM158" s="4" t="s">
        <v>2015</v>
      </c>
      <c r="AN158" s="4"/>
      <c r="AO158" s="1" t="s">
        <v>1156</v>
      </c>
      <c r="AP158" s="4"/>
      <c r="AQ158" s="1" t="s">
        <v>1157</v>
      </c>
      <c r="AS158" s="4"/>
      <c r="AT158" s="4"/>
      <c r="AU158" s="4"/>
      <c r="AV158" s="4" t="s">
        <v>63</v>
      </c>
      <c r="AW158" s="4" t="s">
        <v>158</v>
      </c>
    </row>
    <row r="159" spans="1:49" x14ac:dyDescent="0.3">
      <c r="A159" s="4" t="s">
        <v>1159</v>
      </c>
      <c r="B159" s="4"/>
      <c r="C159" s="4" t="s">
        <v>707</v>
      </c>
      <c r="D159" s="4"/>
      <c r="E159" s="4" t="s">
        <v>147</v>
      </c>
      <c r="F159" s="4"/>
      <c r="G159" s="4" t="s">
        <v>2016</v>
      </c>
      <c r="H159" s="4"/>
      <c r="I159" s="4"/>
      <c r="J159" s="4" t="s">
        <v>1161</v>
      </c>
      <c r="K159" s="4"/>
      <c r="L159" s="4" t="s">
        <v>1015</v>
      </c>
      <c r="M159" s="4"/>
      <c r="N159" s="4"/>
      <c r="O159" s="4"/>
      <c r="P159" s="4"/>
      <c r="Q159" s="4"/>
      <c r="R159" s="4" t="s">
        <v>1627</v>
      </c>
      <c r="S159" s="4" t="s">
        <v>297</v>
      </c>
      <c r="T159" s="4"/>
      <c r="U159" s="4" t="s">
        <v>2017</v>
      </c>
      <c r="V159" s="4"/>
      <c r="W159" s="4"/>
      <c r="X159" s="4"/>
      <c r="Y159" s="1" t="s">
        <v>799</v>
      </c>
      <c r="Z159" s="4"/>
      <c r="AA159" s="4"/>
      <c r="AB159" s="4"/>
      <c r="AC159" s="1" t="s">
        <v>1162</v>
      </c>
      <c r="AD159" s="4"/>
      <c r="AE159" s="4"/>
      <c r="AF159" s="4"/>
      <c r="AG159" s="4" t="s">
        <v>79</v>
      </c>
      <c r="AH159" s="4"/>
      <c r="AI159" s="4"/>
      <c r="AJ159" s="4"/>
      <c r="AK159" s="4"/>
      <c r="AL159" s="4"/>
      <c r="AM159" s="4" t="s">
        <v>2018</v>
      </c>
      <c r="AN159" s="4"/>
      <c r="AO159" s="4" t="s">
        <v>318</v>
      </c>
      <c r="AP159" s="4"/>
      <c r="AQ159" s="4" t="s">
        <v>1164</v>
      </c>
      <c r="AS159" s="4"/>
      <c r="AT159" s="4"/>
      <c r="AU159" s="4"/>
      <c r="AV159" s="4" t="s">
        <v>70</v>
      </c>
      <c r="AW159" s="4" t="s">
        <v>249</v>
      </c>
    </row>
    <row r="160" spans="1:49" x14ac:dyDescent="0.3">
      <c r="A160" s="4" t="s">
        <v>1166</v>
      </c>
      <c r="B160" s="4"/>
      <c r="C160" s="4" t="s">
        <v>374</v>
      </c>
      <c r="D160" s="4"/>
      <c r="E160" s="4" t="s">
        <v>881</v>
      </c>
      <c r="F160" s="4"/>
      <c r="G160" s="4" t="s">
        <v>298</v>
      </c>
      <c r="H160" s="4"/>
      <c r="I160" s="4"/>
      <c r="J160" s="4" t="s">
        <v>1014</v>
      </c>
      <c r="K160" s="4"/>
      <c r="L160" s="4" t="s">
        <v>1015</v>
      </c>
      <c r="M160" s="4"/>
      <c r="N160" s="4"/>
      <c r="O160" s="4"/>
      <c r="P160" s="4"/>
      <c r="Q160" s="4"/>
      <c r="R160" s="4" t="s">
        <v>2019</v>
      </c>
      <c r="S160" s="4" t="s">
        <v>2020</v>
      </c>
      <c r="T160" s="4"/>
      <c r="U160" s="4" t="s">
        <v>305</v>
      </c>
      <c r="V160" s="4"/>
      <c r="W160" s="4"/>
      <c r="X160" s="4"/>
      <c r="Y160" s="1" t="s">
        <v>206</v>
      </c>
      <c r="Z160" s="4"/>
      <c r="AA160" s="4"/>
      <c r="AB160" s="4"/>
      <c r="AC160" s="1" t="s">
        <v>163</v>
      </c>
      <c r="AD160" s="4"/>
      <c r="AE160" s="4"/>
      <c r="AF160" s="4"/>
      <c r="AG160" s="4" t="s">
        <v>79</v>
      </c>
      <c r="AH160" s="4"/>
      <c r="AI160" s="4"/>
      <c r="AJ160" s="4"/>
      <c r="AK160" s="4"/>
      <c r="AL160" s="4"/>
      <c r="AM160" s="4" t="s">
        <v>1533</v>
      </c>
      <c r="AN160" s="4"/>
      <c r="AO160" s="1" t="s">
        <v>2021</v>
      </c>
      <c r="AP160" s="4"/>
      <c r="AQ160" s="1" t="s">
        <v>2022</v>
      </c>
      <c r="AS160" s="4"/>
      <c r="AT160" s="4"/>
      <c r="AU160" s="4"/>
      <c r="AV160" s="4" t="s">
        <v>107</v>
      </c>
      <c r="AW160" s="4" t="s">
        <v>158</v>
      </c>
    </row>
    <row r="161" spans="1:49" x14ac:dyDescent="0.3">
      <c r="A161" s="4" t="s">
        <v>1172</v>
      </c>
      <c r="B161" s="4"/>
      <c r="C161" s="4" t="s">
        <v>107</v>
      </c>
      <c r="D161" s="4"/>
      <c r="E161" s="4" t="s">
        <v>263</v>
      </c>
      <c r="F161" s="4"/>
      <c r="G161" s="4" t="s">
        <v>2023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 t="s">
        <v>844</v>
      </c>
      <c r="S161" s="4" t="s">
        <v>297</v>
      </c>
      <c r="T161" s="4"/>
      <c r="U161" s="4" t="s">
        <v>2024</v>
      </c>
      <c r="V161" s="4"/>
      <c r="W161" s="4"/>
      <c r="X161" s="4"/>
      <c r="Y161" s="1" t="s">
        <v>521</v>
      </c>
      <c r="Z161" s="4"/>
      <c r="AA161" s="4"/>
      <c r="AB161" s="4"/>
      <c r="AC161" s="1" t="s">
        <v>1174</v>
      </c>
      <c r="AD161" s="4"/>
      <c r="AE161" s="4"/>
      <c r="AF161" s="4"/>
      <c r="AG161" s="4" t="s">
        <v>55</v>
      </c>
      <c r="AH161" s="4"/>
      <c r="AI161" s="4"/>
      <c r="AJ161" s="4"/>
      <c r="AK161" s="4"/>
      <c r="AL161" s="4"/>
      <c r="AM161" s="4" t="s">
        <v>2025</v>
      </c>
      <c r="AN161" s="4"/>
      <c r="AO161" s="1" t="s">
        <v>1177</v>
      </c>
      <c r="AP161" s="4"/>
      <c r="AQ161" s="1" t="s">
        <v>1178</v>
      </c>
      <c r="AS161" s="4"/>
      <c r="AT161" s="4"/>
      <c r="AU161" s="4"/>
      <c r="AV161" s="4" t="s">
        <v>107</v>
      </c>
      <c r="AW161" s="4" t="s">
        <v>134</v>
      </c>
    </row>
    <row r="162" spans="1:49" x14ac:dyDescent="0.3">
      <c r="A162" s="4" t="s">
        <v>1181</v>
      </c>
      <c r="B162" s="4"/>
      <c r="C162" s="1" t="s">
        <v>1033</v>
      </c>
      <c r="D162" s="4"/>
      <c r="E162" s="1" t="s">
        <v>800</v>
      </c>
      <c r="F162" s="4"/>
      <c r="G162" s="4" t="s">
        <v>531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 t="s">
        <v>701</v>
      </c>
      <c r="S162" s="4" t="s">
        <v>1224</v>
      </c>
      <c r="T162" s="4"/>
      <c r="U162" s="4"/>
      <c r="V162" s="4"/>
      <c r="W162" s="6" t="s">
        <v>177</v>
      </c>
      <c r="X162" s="4"/>
      <c r="Y162" s="4"/>
      <c r="Z162" s="4"/>
      <c r="AA162" s="4"/>
      <c r="AB162" s="1" t="s">
        <v>1037</v>
      </c>
      <c r="AC162" s="4"/>
      <c r="AD162" s="4"/>
      <c r="AE162" s="4" t="s">
        <v>1183</v>
      </c>
      <c r="AF162" s="4" t="s">
        <v>1185</v>
      </c>
      <c r="AG162" s="4"/>
      <c r="AH162" s="4"/>
      <c r="AI162" s="4"/>
      <c r="AJ162" s="4"/>
      <c r="AK162" s="4"/>
      <c r="AL162" s="4"/>
      <c r="AM162" s="4" t="s">
        <v>2026</v>
      </c>
      <c r="AN162" s="4"/>
      <c r="AO162" s="1" t="s">
        <v>2027</v>
      </c>
      <c r="AP162" s="4"/>
      <c r="AQ162" s="1" t="s">
        <v>1187</v>
      </c>
      <c r="AS162" s="4"/>
      <c r="AT162" s="4"/>
      <c r="AU162" s="4"/>
      <c r="AV162" s="4" t="s">
        <v>60</v>
      </c>
      <c r="AW162" s="4" t="s">
        <v>134</v>
      </c>
    </row>
    <row r="163" spans="1:49" x14ac:dyDescent="0.3">
      <c r="A163" s="4" t="s">
        <v>1203</v>
      </c>
      <c r="C163" s="1" t="s">
        <v>1474</v>
      </c>
      <c r="E163" s="1" t="s">
        <v>2309</v>
      </c>
      <c r="F163" s="4"/>
      <c r="G163" s="4" t="s">
        <v>2384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 t="s">
        <v>2390</v>
      </c>
      <c r="S163" s="4" t="s">
        <v>49</v>
      </c>
      <c r="T163" s="4"/>
      <c r="U163" s="4"/>
      <c r="V163" s="4"/>
      <c r="W163" s="6" t="s">
        <v>2400</v>
      </c>
      <c r="X163" s="4"/>
      <c r="Y163" s="4"/>
      <c r="AA163" s="4"/>
      <c r="AB163" s="1" t="s">
        <v>2329</v>
      </c>
      <c r="AC163" s="4"/>
      <c r="AD163" s="4"/>
      <c r="AE163" s="4" t="s">
        <v>2398</v>
      </c>
      <c r="AF163" s="4" t="s">
        <v>521</v>
      </c>
      <c r="AG163" s="4"/>
      <c r="AH163" s="4"/>
      <c r="AI163" s="4"/>
      <c r="AJ163" s="4"/>
      <c r="AK163" s="4"/>
      <c r="AL163" s="4"/>
      <c r="AM163" s="4" t="s">
        <v>2405</v>
      </c>
      <c r="AN163" s="4"/>
      <c r="AO163" s="1" t="s">
        <v>2346</v>
      </c>
      <c r="AQ163" s="1" t="s">
        <v>2347</v>
      </c>
      <c r="AS163" s="4"/>
      <c r="AT163" s="4"/>
      <c r="AU163" s="4"/>
      <c r="AV163" s="4" t="s">
        <v>172</v>
      </c>
      <c r="AW163" s="4" t="s">
        <v>134</v>
      </c>
    </row>
    <row r="164" spans="1:49" x14ac:dyDescent="0.3">
      <c r="A164" s="4" t="s">
        <v>2298</v>
      </c>
      <c r="C164" s="1" t="s">
        <v>235</v>
      </c>
      <c r="E164" s="1" t="s">
        <v>800</v>
      </c>
      <c r="F164" s="4"/>
      <c r="G164" s="4" t="s">
        <v>1760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 t="s">
        <v>1972</v>
      </c>
      <c r="S164" s="4" t="s">
        <v>2391</v>
      </c>
      <c r="T164" s="4"/>
      <c r="U164" s="4"/>
      <c r="V164" s="4"/>
      <c r="W164" s="6" t="s">
        <v>2361</v>
      </c>
      <c r="X164" s="4"/>
      <c r="Y164" s="4"/>
      <c r="AA164" s="4"/>
      <c r="AB164" s="1" t="s">
        <v>281</v>
      </c>
      <c r="AC164" s="4"/>
      <c r="AD164" s="4"/>
      <c r="AE164" s="4" t="s">
        <v>2338</v>
      </c>
      <c r="AF164" s="4" t="s">
        <v>724</v>
      </c>
      <c r="AG164" s="4"/>
      <c r="AH164" s="4"/>
      <c r="AI164" s="4"/>
      <c r="AJ164" s="4"/>
      <c r="AK164" s="4"/>
      <c r="AL164" s="4"/>
      <c r="AM164" s="4" t="s">
        <v>2406</v>
      </c>
      <c r="AN164" s="4"/>
      <c r="AO164" s="1" t="s">
        <v>2349</v>
      </c>
      <c r="AQ164" s="1" t="s">
        <v>2350</v>
      </c>
      <c r="AS164" s="4"/>
      <c r="AT164" s="4"/>
      <c r="AU164" s="4"/>
      <c r="AV164" s="4" t="s">
        <v>147</v>
      </c>
      <c r="AW164" s="4" t="s">
        <v>134</v>
      </c>
    </row>
    <row r="165" spans="1:49" x14ac:dyDescent="0.3">
      <c r="A165" s="4" t="s">
        <v>2299</v>
      </c>
      <c r="C165" s="4" t="s">
        <v>107</v>
      </c>
      <c r="E165" s="4" t="s">
        <v>439</v>
      </c>
      <c r="F165" s="4"/>
      <c r="G165" s="4" t="s">
        <v>449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 t="s">
        <v>2392</v>
      </c>
      <c r="S165" s="4" t="s">
        <v>663</v>
      </c>
      <c r="T165" s="4"/>
      <c r="U165" s="4"/>
      <c r="V165" s="4"/>
      <c r="W165" s="6" t="s">
        <v>63</v>
      </c>
      <c r="X165" s="4"/>
      <c r="Y165" s="4"/>
      <c r="AA165" s="4"/>
      <c r="AB165" s="1" t="s">
        <v>833</v>
      </c>
      <c r="AC165" s="4"/>
      <c r="AD165" s="4"/>
      <c r="AE165" s="4" t="s">
        <v>879</v>
      </c>
      <c r="AF165" s="4" t="s">
        <v>263</v>
      </c>
      <c r="AG165" s="4"/>
      <c r="AH165" s="4"/>
      <c r="AI165" s="4"/>
      <c r="AJ165" s="4"/>
      <c r="AK165" s="4"/>
      <c r="AL165" s="4"/>
      <c r="AM165" s="4" t="s">
        <v>2386</v>
      </c>
      <c r="AN165" s="4"/>
      <c r="AO165" s="1" t="s">
        <v>2352</v>
      </c>
      <c r="AQ165" s="1" t="s">
        <v>2353</v>
      </c>
      <c r="AS165" s="4"/>
      <c r="AT165" s="4"/>
      <c r="AU165" s="4"/>
      <c r="AV165" s="4" t="s">
        <v>71</v>
      </c>
      <c r="AW165" s="4" t="s">
        <v>158</v>
      </c>
    </row>
    <row r="166" spans="1:49" x14ac:dyDescent="0.3">
      <c r="A166" s="4" t="s">
        <v>2300</v>
      </c>
      <c r="C166" s="8" t="s">
        <v>123</v>
      </c>
      <c r="E166" s="4" t="s">
        <v>777</v>
      </c>
      <c r="F166" s="4"/>
      <c r="G166" s="4" t="s">
        <v>1174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 t="s">
        <v>2393</v>
      </c>
      <c r="S166" s="4" t="s">
        <v>2394</v>
      </c>
      <c r="T166" s="4"/>
      <c r="U166" s="4"/>
      <c r="V166" s="4"/>
      <c r="W166" s="6" t="s">
        <v>2401</v>
      </c>
      <c r="X166" s="4"/>
      <c r="Y166" s="4"/>
      <c r="AA166" s="4"/>
      <c r="AB166" s="1" t="s">
        <v>391</v>
      </c>
      <c r="AC166" s="4"/>
      <c r="AD166" s="4"/>
      <c r="AE166" s="4" t="s">
        <v>729</v>
      </c>
      <c r="AF166" s="4" t="s">
        <v>2343</v>
      </c>
      <c r="AG166" s="4"/>
      <c r="AH166" s="4"/>
      <c r="AI166" s="4"/>
      <c r="AJ166" s="4"/>
      <c r="AK166" s="4"/>
      <c r="AL166" s="4"/>
      <c r="AM166" s="4" t="s">
        <v>2407</v>
      </c>
      <c r="AN166" s="4"/>
      <c r="AO166" s="1" t="s">
        <v>2355</v>
      </c>
      <c r="AQ166" s="1" t="s">
        <v>2356</v>
      </c>
      <c r="AS166" s="4"/>
      <c r="AT166" s="4"/>
      <c r="AU166" s="4"/>
      <c r="AV166" s="4" t="s">
        <v>300</v>
      </c>
      <c r="AW166" s="4" t="s">
        <v>2375</v>
      </c>
    </row>
    <row r="167" spans="1:49" x14ac:dyDescent="0.3">
      <c r="A167" s="4" t="s">
        <v>2301</v>
      </c>
      <c r="C167" s="4" t="s">
        <v>55</v>
      </c>
      <c r="E167" s="4" t="s">
        <v>147</v>
      </c>
      <c r="F167" s="4"/>
      <c r="G167" s="4" t="s">
        <v>2385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 t="s">
        <v>2395</v>
      </c>
      <c r="S167" s="4" t="s">
        <v>511</v>
      </c>
      <c r="U167" s="6" t="s">
        <v>96</v>
      </c>
      <c r="V167" s="4"/>
      <c r="W167" s="6"/>
      <c r="X167" s="4"/>
      <c r="Y167" s="4" t="s">
        <v>371</v>
      </c>
      <c r="AA167" s="4"/>
      <c r="AB167" s="4"/>
      <c r="AC167" s="4" t="s">
        <v>1103</v>
      </c>
      <c r="AE167" s="4"/>
      <c r="AF167" s="4"/>
      <c r="AG167" s="4" t="s">
        <v>172</v>
      </c>
      <c r="AH167" s="4" t="s">
        <v>52</v>
      </c>
      <c r="AI167" s="4" t="s">
        <v>52</v>
      </c>
      <c r="AJ167" s="4" t="s">
        <v>52</v>
      </c>
      <c r="AK167" s="1" t="s">
        <v>2358</v>
      </c>
      <c r="AL167" s="4"/>
      <c r="AM167" s="4"/>
      <c r="AN167" s="1" t="s">
        <v>2359</v>
      </c>
      <c r="AO167" s="4"/>
      <c r="AP167" s="4"/>
      <c r="AQ167" s="4"/>
      <c r="AR167" s="4" t="s">
        <v>2409</v>
      </c>
      <c r="AS167" s="4"/>
      <c r="AT167" s="4"/>
      <c r="AU167" s="4"/>
      <c r="AV167" s="4" t="s">
        <v>107</v>
      </c>
      <c r="AW167" s="4" t="s">
        <v>133</v>
      </c>
    </row>
    <row r="168" spans="1:49" x14ac:dyDescent="0.3">
      <c r="A168" s="4" t="s">
        <v>2302</v>
      </c>
      <c r="C168" s="4" t="s">
        <v>62</v>
      </c>
      <c r="E168" s="4" t="s">
        <v>521</v>
      </c>
      <c r="F168" s="4"/>
      <c r="G168" s="4" t="s">
        <v>2386</v>
      </c>
      <c r="H168" s="4"/>
      <c r="I168" s="4"/>
      <c r="J168" s="4"/>
      <c r="K168" s="4"/>
      <c r="L168" s="4"/>
      <c r="M168" s="4" t="s">
        <v>1020</v>
      </c>
      <c r="N168" s="1" t="s">
        <v>1015</v>
      </c>
      <c r="O168" s="4"/>
      <c r="P168" s="4"/>
      <c r="Q168" s="4"/>
      <c r="R168" s="4" t="s">
        <v>381</v>
      </c>
      <c r="S168" s="4" t="s">
        <v>297</v>
      </c>
      <c r="U168" s="6" t="s">
        <v>163</v>
      </c>
      <c r="V168" s="4"/>
      <c r="W168" s="6"/>
      <c r="X168" s="4"/>
      <c r="Y168" s="1" t="s">
        <v>698</v>
      </c>
      <c r="AA168" s="4"/>
      <c r="AB168" s="4"/>
      <c r="AC168" s="1" t="s">
        <v>541</v>
      </c>
      <c r="AE168" s="4"/>
      <c r="AF168" s="4"/>
      <c r="AG168" s="4" t="s">
        <v>59</v>
      </c>
      <c r="AH168" s="4" t="s">
        <v>52</v>
      </c>
      <c r="AI168" s="4" t="s">
        <v>52</v>
      </c>
      <c r="AJ168" s="4" t="s">
        <v>52</v>
      </c>
      <c r="AK168" s="1" t="s">
        <v>2361</v>
      </c>
      <c r="AL168" s="4"/>
      <c r="AM168" s="4"/>
      <c r="AN168" s="1" t="s">
        <v>2238</v>
      </c>
      <c r="AO168" s="4"/>
      <c r="AP168" s="4"/>
      <c r="AQ168" s="4"/>
      <c r="AR168" s="4" t="s">
        <v>2410</v>
      </c>
      <c r="AS168" s="4"/>
      <c r="AT168" s="4"/>
      <c r="AU168" s="4"/>
      <c r="AV168" s="4" t="s">
        <v>107</v>
      </c>
      <c r="AW168" s="4" t="s">
        <v>134</v>
      </c>
    </row>
    <row r="169" spans="1:49" x14ac:dyDescent="0.3">
      <c r="A169" s="4" t="s">
        <v>2303</v>
      </c>
      <c r="C169" s="4" t="s">
        <v>177</v>
      </c>
      <c r="E169" s="4" t="s">
        <v>63</v>
      </c>
      <c r="F169" s="4"/>
      <c r="G169" s="4" t="s">
        <v>2316</v>
      </c>
      <c r="H169" s="4"/>
      <c r="I169" s="4"/>
      <c r="J169" s="4"/>
      <c r="K169" s="4"/>
      <c r="L169" s="4"/>
      <c r="M169" s="1" t="s">
        <v>1215</v>
      </c>
      <c r="N169" s="1" t="s">
        <v>2324</v>
      </c>
      <c r="O169" s="4"/>
      <c r="P169" s="4"/>
      <c r="Q169" s="4"/>
      <c r="R169" s="4" t="s">
        <v>844</v>
      </c>
      <c r="S169" s="4" t="s">
        <v>471</v>
      </c>
      <c r="U169" s="6" t="s">
        <v>158</v>
      </c>
      <c r="V169" s="4"/>
      <c r="W169" s="6"/>
      <c r="X169" s="4"/>
      <c r="Y169" s="4" t="s">
        <v>1627</v>
      </c>
      <c r="AA169" s="4"/>
      <c r="AB169" s="4"/>
      <c r="AC169" s="1" t="s">
        <v>49</v>
      </c>
      <c r="AE169" s="4"/>
      <c r="AF169" s="4"/>
      <c r="AG169" s="4" t="s">
        <v>274</v>
      </c>
      <c r="AH169" s="4" t="s">
        <v>52</v>
      </c>
      <c r="AI169" s="4" t="s">
        <v>52</v>
      </c>
      <c r="AJ169" s="4" t="s">
        <v>52</v>
      </c>
      <c r="AK169" s="1" t="s">
        <v>1378</v>
      </c>
      <c r="AL169" s="4"/>
      <c r="AM169" s="4"/>
      <c r="AN169" s="1" t="s">
        <v>2363</v>
      </c>
      <c r="AO169" s="4"/>
      <c r="AP169" s="4"/>
      <c r="AQ169" s="4"/>
      <c r="AR169" s="4" t="s">
        <v>2411</v>
      </c>
      <c r="AS169" s="4"/>
      <c r="AT169" s="4"/>
      <c r="AU169" s="4"/>
      <c r="AV169" s="4" t="s">
        <v>63</v>
      </c>
      <c r="AW169" s="4" t="s">
        <v>158</v>
      </c>
    </row>
    <row r="170" spans="1:49" x14ac:dyDescent="0.3">
      <c r="A170" s="4" t="s">
        <v>2304</v>
      </c>
      <c r="C170" s="4" t="s">
        <v>79</v>
      </c>
      <c r="E170" s="4" t="s">
        <v>63</v>
      </c>
      <c r="F170" s="4"/>
      <c r="G170" s="4" t="s">
        <v>2005</v>
      </c>
      <c r="H170" s="4"/>
      <c r="I170" s="4"/>
      <c r="J170" s="4"/>
      <c r="K170" s="4"/>
      <c r="L170" s="4"/>
      <c r="M170" s="1" t="s">
        <v>2325</v>
      </c>
      <c r="N170" s="1" t="s">
        <v>1015</v>
      </c>
      <c r="O170" s="4"/>
      <c r="P170" s="4"/>
      <c r="Q170" s="4"/>
      <c r="R170" s="4" t="s">
        <v>553</v>
      </c>
      <c r="S170" s="4" t="s">
        <v>298</v>
      </c>
      <c r="U170" s="6" t="s">
        <v>2396</v>
      </c>
      <c r="V170" s="4"/>
      <c r="W170" s="6"/>
      <c r="X170" s="4"/>
      <c r="Y170" s="1" t="s">
        <v>511</v>
      </c>
      <c r="AA170" s="4"/>
      <c r="AB170" s="4"/>
      <c r="AC170" s="1" t="s">
        <v>793</v>
      </c>
      <c r="AE170" s="4"/>
      <c r="AF170" s="4"/>
      <c r="AG170" s="4" t="s">
        <v>147</v>
      </c>
      <c r="AH170" s="4" t="s">
        <v>52</v>
      </c>
      <c r="AI170" s="4" t="s">
        <v>52</v>
      </c>
      <c r="AJ170" s="4" t="s">
        <v>52</v>
      </c>
      <c r="AK170" s="1" t="s">
        <v>2365</v>
      </c>
      <c r="AL170" s="4"/>
      <c r="AM170" s="4"/>
      <c r="AN170" s="1" t="s">
        <v>2366</v>
      </c>
      <c r="AO170" s="4"/>
      <c r="AP170" s="4"/>
      <c r="AQ170" s="4"/>
      <c r="AR170" s="4" t="s">
        <v>2412</v>
      </c>
      <c r="AS170" s="4"/>
      <c r="AT170" s="4"/>
      <c r="AU170" s="4"/>
      <c r="AV170" s="4" t="s">
        <v>228</v>
      </c>
      <c r="AW170" s="4" t="s">
        <v>60</v>
      </c>
    </row>
    <row r="171" spans="1:49" x14ac:dyDescent="0.3">
      <c r="A171" s="4" t="s">
        <v>2305</v>
      </c>
      <c r="C171" s="4" t="s">
        <v>136</v>
      </c>
      <c r="E171" s="4" t="s">
        <v>172</v>
      </c>
      <c r="F171" s="4"/>
      <c r="G171" s="4" t="s">
        <v>2387</v>
      </c>
      <c r="H171" s="4"/>
      <c r="I171" s="4"/>
      <c r="J171" s="4"/>
      <c r="K171" s="4"/>
      <c r="L171" s="4"/>
      <c r="M171" s="1" t="s">
        <v>2326</v>
      </c>
      <c r="N171" s="1" t="s">
        <v>2327</v>
      </c>
      <c r="O171" s="4"/>
      <c r="P171" s="4"/>
      <c r="Q171" s="4"/>
      <c r="R171" s="4" t="s">
        <v>363</v>
      </c>
      <c r="S171" s="4" t="s">
        <v>471</v>
      </c>
      <c r="U171" s="6" t="s">
        <v>2397</v>
      </c>
      <c r="V171" s="4"/>
      <c r="W171" s="6"/>
      <c r="X171" s="4"/>
      <c r="Y171" s="1" t="s">
        <v>1148</v>
      </c>
      <c r="AA171" s="4"/>
      <c r="AB171" s="4"/>
      <c r="AC171" s="4" t="s">
        <v>554</v>
      </c>
      <c r="AE171" s="4"/>
      <c r="AF171" s="4"/>
      <c r="AG171" s="4" t="s">
        <v>228</v>
      </c>
      <c r="AH171" s="4" t="s">
        <v>52</v>
      </c>
      <c r="AI171" s="4" t="s">
        <v>52</v>
      </c>
      <c r="AJ171" s="4" t="s">
        <v>52</v>
      </c>
      <c r="AK171" s="1" t="s">
        <v>1606</v>
      </c>
      <c r="AL171" s="4"/>
      <c r="AM171" s="4"/>
      <c r="AN171" s="1" t="s">
        <v>2368</v>
      </c>
      <c r="AO171" s="4"/>
      <c r="AP171" s="4"/>
      <c r="AQ171" s="4"/>
      <c r="AR171" s="4" t="s">
        <v>2413</v>
      </c>
      <c r="AS171" s="4"/>
      <c r="AT171" s="4"/>
      <c r="AU171" s="4"/>
      <c r="AV171" s="4" t="s">
        <v>147</v>
      </c>
      <c r="AW171" s="4" t="s">
        <v>274</v>
      </c>
    </row>
    <row r="172" spans="1:49" x14ac:dyDescent="0.3">
      <c r="A172" s="4" t="s">
        <v>2306</v>
      </c>
      <c r="C172" s="4" t="s">
        <v>90</v>
      </c>
      <c r="E172" s="4" t="s">
        <v>228</v>
      </c>
      <c r="F172" s="4"/>
      <c r="G172" s="4" t="s">
        <v>409</v>
      </c>
      <c r="H172" s="4"/>
      <c r="I172" s="4"/>
      <c r="J172" s="4"/>
      <c r="K172" s="4"/>
      <c r="L172" s="4"/>
      <c r="M172" s="1" t="s">
        <v>2328</v>
      </c>
      <c r="N172" s="1" t="s">
        <v>1154</v>
      </c>
      <c r="O172" s="4"/>
      <c r="P172" s="4"/>
      <c r="Q172" s="4"/>
      <c r="R172" s="4" t="s">
        <v>638</v>
      </c>
      <c r="S172" s="4" t="s">
        <v>1086</v>
      </c>
      <c r="U172" s="6" t="s">
        <v>1147</v>
      </c>
      <c r="V172" s="4"/>
      <c r="W172" s="6"/>
      <c r="X172" s="4"/>
      <c r="Y172" s="1" t="s">
        <v>386</v>
      </c>
      <c r="AA172" s="4"/>
      <c r="AB172" s="4"/>
      <c r="AC172" s="1" t="s">
        <v>707</v>
      </c>
      <c r="AE172" s="4"/>
      <c r="AF172" s="4"/>
      <c r="AG172" s="4" t="s">
        <v>63</v>
      </c>
      <c r="AH172" s="4" t="s">
        <v>52</v>
      </c>
      <c r="AI172" s="4" t="s">
        <v>52</v>
      </c>
      <c r="AJ172" s="4" t="s">
        <v>52</v>
      </c>
      <c r="AK172" s="1" t="s">
        <v>1183</v>
      </c>
      <c r="AL172" s="4"/>
      <c r="AM172" s="4"/>
      <c r="AN172" s="1" t="s">
        <v>1496</v>
      </c>
      <c r="AO172" s="4"/>
      <c r="AP172" s="4"/>
      <c r="AQ172" s="4"/>
      <c r="AR172" s="4" t="s">
        <v>724</v>
      </c>
      <c r="AS172" s="4"/>
      <c r="AT172" s="4"/>
      <c r="AU172" s="4"/>
      <c r="AV172" s="4" t="s">
        <v>70</v>
      </c>
      <c r="AW172" s="4" t="s">
        <v>158</v>
      </c>
    </row>
    <row r="173" spans="1:49" x14ac:dyDescent="0.3">
      <c r="A173" s="4" t="s">
        <v>2307</v>
      </c>
      <c r="C173" s="4" t="s">
        <v>107</v>
      </c>
      <c r="E173" s="4" t="s">
        <v>108</v>
      </c>
      <c r="F173" s="4"/>
      <c r="G173" s="4" t="s">
        <v>720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 t="s">
        <v>1974</v>
      </c>
      <c r="S173" s="4" t="s">
        <v>49</v>
      </c>
      <c r="U173" s="6" t="s">
        <v>2398</v>
      </c>
      <c r="V173" s="4"/>
      <c r="W173" s="6"/>
      <c r="X173" s="4"/>
      <c r="Y173" s="1" t="s">
        <v>553</v>
      </c>
      <c r="AA173" s="4"/>
      <c r="AB173" s="4"/>
      <c r="AC173" s="1" t="s">
        <v>50</v>
      </c>
      <c r="AE173" s="4"/>
      <c r="AF173" s="4"/>
      <c r="AG173" s="4" t="s">
        <v>108</v>
      </c>
      <c r="AH173" s="4" t="s">
        <v>52</v>
      </c>
      <c r="AI173" s="4" t="s">
        <v>52</v>
      </c>
      <c r="AJ173" s="4" t="s">
        <v>52</v>
      </c>
      <c r="AK173" s="1" t="s">
        <v>104</v>
      </c>
      <c r="AL173" s="4"/>
      <c r="AM173" s="4"/>
      <c r="AN173" s="1" t="s">
        <v>1495</v>
      </c>
      <c r="AO173" s="4"/>
      <c r="AP173" s="4"/>
      <c r="AQ173" s="4"/>
      <c r="AR173" s="4" t="s">
        <v>2333</v>
      </c>
      <c r="AS173" s="4"/>
      <c r="AT173" s="4"/>
      <c r="AU173" s="4"/>
      <c r="AV173" s="4" t="s">
        <v>63</v>
      </c>
      <c r="AW173" s="4" t="s">
        <v>60</v>
      </c>
    </row>
    <row r="174" spans="1:49" x14ac:dyDescent="0.3">
      <c r="A174" s="4" t="s">
        <v>2308</v>
      </c>
      <c r="C174" s="4" t="s">
        <v>74</v>
      </c>
      <c r="E174" s="4" t="s">
        <v>63</v>
      </c>
      <c r="F174" s="4"/>
      <c r="G174" s="4" t="s">
        <v>2388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 t="s">
        <v>488</v>
      </c>
      <c r="S174" s="4" t="s">
        <v>304</v>
      </c>
      <c r="U174" s="6"/>
      <c r="V174" s="4"/>
      <c r="W174" s="6" t="s">
        <v>1093</v>
      </c>
      <c r="X174" s="4"/>
      <c r="Y174" s="4"/>
      <c r="AA174" s="4"/>
      <c r="AB174" s="4" t="s">
        <v>2330</v>
      </c>
      <c r="AC174" s="4"/>
      <c r="AD174" s="4"/>
      <c r="AE174" s="4" t="s">
        <v>2342</v>
      </c>
      <c r="AF174" s="4" t="s">
        <v>121</v>
      </c>
      <c r="AG174" s="4"/>
      <c r="AH174" s="4" t="s">
        <v>52</v>
      </c>
      <c r="AI174" s="4" t="s">
        <v>52</v>
      </c>
      <c r="AJ174" s="4" t="s">
        <v>52</v>
      </c>
      <c r="AK174" s="1" t="s">
        <v>2372</v>
      </c>
      <c r="AL174" s="4"/>
      <c r="AM174" s="4"/>
      <c r="AN174" s="1" t="s">
        <v>2373</v>
      </c>
      <c r="AO174" s="4"/>
      <c r="AP174" s="4"/>
      <c r="AQ174" s="4"/>
      <c r="AR174" s="4" t="s">
        <v>555</v>
      </c>
      <c r="AS174" s="4"/>
      <c r="AT174" s="4"/>
      <c r="AU174" s="4"/>
      <c r="AV174" s="4" t="s">
        <v>70</v>
      </c>
      <c r="AW174" s="4" t="s">
        <v>133</v>
      </c>
    </row>
    <row r="175" spans="1:49" x14ac:dyDescent="0.3">
      <c r="A175" s="4" t="s">
        <v>2262</v>
      </c>
      <c r="C175" s="8" t="s">
        <v>180</v>
      </c>
      <c r="E175" s="4" t="s">
        <v>180</v>
      </c>
      <c r="F175" s="4"/>
      <c r="G175" s="4" t="s">
        <v>167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 t="s">
        <v>575</v>
      </c>
      <c r="S175" s="4" t="s">
        <v>575</v>
      </c>
      <c r="U175" s="6"/>
      <c r="V175" s="4"/>
      <c r="W175" s="6" t="s">
        <v>2402</v>
      </c>
      <c r="X175" s="4"/>
      <c r="Y175" s="4"/>
      <c r="AA175" s="4"/>
      <c r="AB175" s="1" t="s">
        <v>50</v>
      </c>
      <c r="AC175" s="4"/>
      <c r="AD175" s="4"/>
      <c r="AE175" s="8" t="s">
        <v>50</v>
      </c>
      <c r="AF175" s="4" t="s">
        <v>374</v>
      </c>
      <c r="AG175" s="4"/>
      <c r="AH175" s="4" t="s">
        <v>52</v>
      </c>
      <c r="AI175" s="4" t="s">
        <v>52</v>
      </c>
      <c r="AJ175" s="4" t="s">
        <v>52</v>
      </c>
      <c r="AK175" s="1" t="s">
        <v>362</v>
      </c>
      <c r="AL175" s="4"/>
      <c r="AM175" s="4"/>
      <c r="AN175" s="1" t="s">
        <v>362</v>
      </c>
      <c r="AO175" s="4"/>
      <c r="AP175" s="4"/>
      <c r="AQ175" s="4"/>
      <c r="AR175" s="4" t="s">
        <v>1606</v>
      </c>
      <c r="AS175" s="4"/>
      <c r="AT175" s="4"/>
      <c r="AU175" s="4"/>
      <c r="AV175" s="4" t="s">
        <v>107</v>
      </c>
      <c r="AW175" s="4" t="s">
        <v>107</v>
      </c>
    </row>
    <row r="176" spans="1:49" x14ac:dyDescent="0.3">
      <c r="A176" s="4" t="s">
        <v>2266</v>
      </c>
      <c r="C176" s="1" t="s">
        <v>311</v>
      </c>
      <c r="E176" s="1" t="s">
        <v>507</v>
      </c>
      <c r="F176" s="4"/>
      <c r="G176" s="4" t="s">
        <v>63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 t="s">
        <v>575</v>
      </c>
      <c r="S176" s="4" t="s">
        <v>1226</v>
      </c>
      <c r="U176" s="6"/>
      <c r="V176" s="4"/>
      <c r="W176" s="6" t="s">
        <v>383</v>
      </c>
      <c r="X176" s="4"/>
      <c r="Y176" s="4"/>
      <c r="AA176" s="4"/>
      <c r="AB176" s="1" t="s">
        <v>1259</v>
      </c>
      <c r="AC176" s="4"/>
      <c r="AD176" s="4"/>
      <c r="AE176" s="1" t="s">
        <v>1760</v>
      </c>
      <c r="AF176" s="4" t="s">
        <v>383</v>
      </c>
      <c r="AG176" s="4"/>
      <c r="AH176" s="4" t="s">
        <v>52</v>
      </c>
      <c r="AI176" s="4" t="s">
        <v>52</v>
      </c>
      <c r="AJ176" s="4" t="s">
        <v>52</v>
      </c>
      <c r="AK176" s="1" t="s">
        <v>1533</v>
      </c>
      <c r="AL176" s="4"/>
      <c r="AM176" s="4"/>
      <c r="AN176" s="1" t="s">
        <v>2269</v>
      </c>
      <c r="AO176" s="4"/>
      <c r="AP176" s="4"/>
      <c r="AQ176" s="4"/>
      <c r="AR176" s="4" t="s">
        <v>215</v>
      </c>
      <c r="AS176" s="4"/>
      <c r="AT176" s="4"/>
      <c r="AU176" s="4"/>
      <c r="AV176" s="4" t="s">
        <v>147</v>
      </c>
      <c r="AW176" s="4" t="s">
        <v>158</v>
      </c>
    </row>
    <row r="177" spans="1:49" x14ac:dyDescent="0.3">
      <c r="A177" s="4" t="s">
        <v>2271</v>
      </c>
      <c r="C177" s="1" t="s">
        <v>190</v>
      </c>
      <c r="E177" s="1" t="s">
        <v>1328</v>
      </c>
      <c r="F177" s="4"/>
      <c r="G177" s="4" t="s">
        <v>1533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 t="s">
        <v>372</v>
      </c>
      <c r="S177" s="4" t="s">
        <v>304</v>
      </c>
      <c r="U177" s="6"/>
      <c r="V177" s="4"/>
      <c r="W177" s="6" t="s">
        <v>2403</v>
      </c>
      <c r="X177" s="4"/>
      <c r="Y177" s="4"/>
      <c r="AA177" s="4"/>
      <c r="AB177" s="1" t="s">
        <v>1974</v>
      </c>
      <c r="AC177" s="4"/>
      <c r="AD177" s="4"/>
      <c r="AE177" s="1" t="s">
        <v>105</v>
      </c>
      <c r="AF177" s="8" t="s">
        <v>245</v>
      </c>
      <c r="AG177" s="4"/>
      <c r="AH177" s="4" t="s">
        <v>52</v>
      </c>
      <c r="AI177" s="4" t="s">
        <v>52</v>
      </c>
      <c r="AJ177" s="4" t="s">
        <v>52</v>
      </c>
      <c r="AK177" s="1" t="s">
        <v>2274</v>
      </c>
      <c r="AL177" s="4"/>
      <c r="AM177" s="4"/>
      <c r="AN177" s="1" t="s">
        <v>2275</v>
      </c>
      <c r="AO177" s="4"/>
      <c r="AP177" s="4"/>
      <c r="AQ177" s="4"/>
      <c r="AR177" s="4" t="s">
        <v>2414</v>
      </c>
      <c r="AS177" s="4"/>
      <c r="AT177" s="4"/>
      <c r="AU177" s="4"/>
      <c r="AV177" s="4" t="s">
        <v>172</v>
      </c>
      <c r="AW177" s="4" t="s">
        <v>158</v>
      </c>
    </row>
    <row r="178" spans="1:49" x14ac:dyDescent="0.3">
      <c r="A178" s="4" t="s">
        <v>2277</v>
      </c>
      <c r="C178" s="1" t="s">
        <v>1974</v>
      </c>
      <c r="E178" s="1" t="s">
        <v>67</v>
      </c>
      <c r="F178" s="4"/>
      <c r="G178" s="4" t="s">
        <v>2389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 t="s">
        <v>1092</v>
      </c>
      <c r="S178" s="4" t="s">
        <v>304</v>
      </c>
      <c r="U178" s="6"/>
      <c r="V178" s="4"/>
      <c r="W178" s="6" t="s">
        <v>2404</v>
      </c>
      <c r="X178" s="4"/>
      <c r="Y178" s="4"/>
      <c r="AA178" s="4"/>
      <c r="AB178" s="1" t="s">
        <v>2279</v>
      </c>
      <c r="AC178" s="4"/>
      <c r="AD178" s="4"/>
      <c r="AE178" s="1" t="s">
        <v>1974</v>
      </c>
      <c r="AF178" s="4" t="s">
        <v>70</v>
      </c>
      <c r="AG178" s="4"/>
      <c r="AH178" s="4" t="s">
        <v>52</v>
      </c>
      <c r="AI178" s="4" t="s">
        <v>52</v>
      </c>
      <c r="AJ178" s="4" t="s">
        <v>52</v>
      </c>
      <c r="AK178" s="1" t="s">
        <v>2281</v>
      </c>
      <c r="AL178" s="4"/>
      <c r="AM178" s="4"/>
      <c r="AN178" s="1" t="s">
        <v>2282</v>
      </c>
      <c r="AO178" s="4"/>
      <c r="AP178" s="4"/>
      <c r="AQ178" s="4"/>
      <c r="AR178" s="4" t="s">
        <v>618</v>
      </c>
      <c r="AS178" s="4"/>
      <c r="AT178" s="4"/>
      <c r="AU178" s="4"/>
      <c r="AV178" s="4" t="s">
        <v>228</v>
      </c>
      <c r="AW178" s="4" t="s">
        <v>94</v>
      </c>
    </row>
    <row r="179" spans="1:49" x14ac:dyDescent="0.3">
      <c r="A179" s="4" t="s">
        <v>2284</v>
      </c>
      <c r="C179" s="1" t="s">
        <v>2285</v>
      </c>
      <c r="E179" s="1" t="s">
        <v>1313</v>
      </c>
      <c r="F179" s="4"/>
      <c r="G179" s="4" t="s">
        <v>417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 t="s">
        <v>438</v>
      </c>
      <c r="S179" s="4" t="s">
        <v>380</v>
      </c>
      <c r="U179" s="6" t="s">
        <v>1521</v>
      </c>
      <c r="V179" s="4"/>
      <c r="W179" s="6"/>
      <c r="X179" s="4"/>
      <c r="Y179" s="1" t="s">
        <v>2238</v>
      </c>
      <c r="AA179" s="4"/>
      <c r="AB179" s="4"/>
      <c r="AC179" s="1" t="s">
        <v>1399</v>
      </c>
      <c r="AE179" s="4"/>
      <c r="AF179" s="4"/>
      <c r="AG179" s="4" t="s">
        <v>66</v>
      </c>
      <c r="AH179" s="20" t="s">
        <v>2490</v>
      </c>
      <c r="AI179" s="20" t="s">
        <v>264</v>
      </c>
      <c r="AJ179" s="20" t="s">
        <v>372</v>
      </c>
      <c r="AK179" s="1" t="s">
        <v>2288</v>
      </c>
      <c r="AL179" s="4"/>
      <c r="AM179" s="4"/>
      <c r="AN179" s="1" t="s">
        <v>1309</v>
      </c>
      <c r="AO179" s="4"/>
      <c r="AP179" s="4"/>
      <c r="AQ179" s="4"/>
      <c r="AR179" s="4" t="s">
        <v>2415</v>
      </c>
      <c r="AS179" s="4"/>
      <c r="AT179" s="4"/>
      <c r="AU179" s="4"/>
      <c r="AV179" s="4" t="s">
        <v>107</v>
      </c>
      <c r="AW179" s="4" t="s">
        <v>134</v>
      </c>
    </row>
    <row r="180" spans="1:49" x14ac:dyDescent="0.3">
      <c r="A180" s="4" t="s">
        <v>2290</v>
      </c>
      <c r="C180" s="1" t="s">
        <v>318</v>
      </c>
      <c r="E180" s="1" t="s">
        <v>934</v>
      </c>
      <c r="F180" s="4"/>
      <c r="G180" s="4" t="s">
        <v>445</v>
      </c>
      <c r="H180" s="4"/>
      <c r="I180" s="4"/>
      <c r="J180" s="4"/>
      <c r="K180" s="4"/>
      <c r="L180" s="4"/>
      <c r="M180" s="7" t="s">
        <v>2292</v>
      </c>
      <c r="N180" s="7" t="s">
        <v>2293</v>
      </c>
      <c r="O180" s="4"/>
      <c r="P180" s="4"/>
      <c r="Q180" s="4"/>
      <c r="R180" s="4" t="s">
        <v>638</v>
      </c>
      <c r="S180" s="4" t="s">
        <v>380</v>
      </c>
      <c r="U180" s="6" t="s">
        <v>2399</v>
      </c>
      <c r="V180" s="4"/>
      <c r="W180" s="6"/>
      <c r="X180" s="4"/>
      <c r="Y180" s="1" t="s">
        <v>1974</v>
      </c>
      <c r="AA180" s="4"/>
      <c r="AB180" s="4"/>
      <c r="AC180" s="1" t="s">
        <v>1915</v>
      </c>
      <c r="AE180" s="4"/>
      <c r="AF180" s="4"/>
      <c r="AG180" s="4" t="s">
        <v>134</v>
      </c>
      <c r="AH180" s="20" t="s">
        <v>52</v>
      </c>
      <c r="AI180" s="20" t="s">
        <v>52</v>
      </c>
      <c r="AJ180" s="20" t="s">
        <v>52</v>
      </c>
      <c r="AK180" s="1" t="s">
        <v>2295</v>
      </c>
      <c r="AL180" s="4"/>
      <c r="AM180" s="4"/>
      <c r="AN180" s="1" t="s">
        <v>2296</v>
      </c>
      <c r="AO180" s="4"/>
      <c r="AP180" s="4"/>
      <c r="AQ180" s="4"/>
      <c r="AR180" s="4" t="s">
        <v>2416</v>
      </c>
      <c r="AS180" s="4"/>
      <c r="AT180" s="4"/>
      <c r="AU180" s="4"/>
      <c r="AV180" s="4" t="s">
        <v>147</v>
      </c>
      <c r="AW180" s="4" t="s">
        <v>134</v>
      </c>
    </row>
    <row r="181" spans="1:49" x14ac:dyDescent="0.3">
      <c r="A181" s="20" t="s">
        <v>2383</v>
      </c>
      <c r="C181" s="20" t="s">
        <v>460</v>
      </c>
      <c r="E181" s="20" t="s">
        <v>531</v>
      </c>
      <c r="G181" s="20" t="s">
        <v>298</v>
      </c>
      <c r="H181" s="4"/>
      <c r="I181" s="4"/>
      <c r="J181" s="4"/>
      <c r="K181" s="4"/>
      <c r="L181" s="4"/>
      <c r="M181" s="7" t="s">
        <v>2444</v>
      </c>
      <c r="N181" s="7" t="s">
        <v>2445</v>
      </c>
      <c r="O181" s="4"/>
      <c r="P181" s="4"/>
      <c r="Q181" s="4"/>
      <c r="R181" s="20" t="s">
        <v>862</v>
      </c>
      <c r="S181" s="20" t="s">
        <v>380</v>
      </c>
      <c r="U181" s="20" t="s">
        <v>2481</v>
      </c>
      <c r="V181" s="20"/>
      <c r="X181" s="20"/>
      <c r="Y181" s="1" t="s">
        <v>49</v>
      </c>
      <c r="AA181" s="4"/>
      <c r="AB181" s="4"/>
      <c r="AC181" s="1" t="s">
        <v>123</v>
      </c>
      <c r="AE181" s="20"/>
      <c r="AF181" s="20"/>
      <c r="AG181" s="20" t="s">
        <v>70</v>
      </c>
      <c r="AH181" s="20" t="s">
        <v>52</v>
      </c>
      <c r="AI181" s="20" t="s">
        <v>52</v>
      </c>
      <c r="AJ181" s="20" t="s">
        <v>52</v>
      </c>
      <c r="AK181" s="20" t="s">
        <v>392</v>
      </c>
      <c r="AL181" s="20"/>
      <c r="AN181" s="20" t="s">
        <v>264</v>
      </c>
      <c r="AO181" s="4"/>
      <c r="AP181" s="4"/>
      <c r="AQ181" s="4"/>
      <c r="AR181" s="20" t="s">
        <v>770</v>
      </c>
      <c r="AU181" s="4"/>
      <c r="AV181" s="20" t="s">
        <v>228</v>
      </c>
      <c r="AW181" s="20" t="s">
        <v>94</v>
      </c>
    </row>
    <row r="182" spans="1:49" s="20" customFormat="1" x14ac:dyDescent="0.3">
      <c r="A182" s="20" t="s">
        <v>2446</v>
      </c>
      <c r="C182" s="20" t="s">
        <v>305</v>
      </c>
      <c r="E182" s="20" t="s">
        <v>74</v>
      </c>
      <c r="G182" s="20" t="s">
        <v>1148</v>
      </c>
      <c r="M182" s="7" t="s">
        <v>2447</v>
      </c>
      <c r="N182" s="7" t="s">
        <v>2448</v>
      </c>
      <c r="R182" s="20" t="s">
        <v>548</v>
      </c>
      <c r="S182" s="20" t="s">
        <v>380</v>
      </c>
      <c r="U182" s="20" t="s">
        <v>1098</v>
      </c>
      <c r="Y182" s="20" t="s">
        <v>488</v>
      </c>
      <c r="AC182" s="20" t="s">
        <v>459</v>
      </c>
      <c r="AG182" s="20" t="s">
        <v>134</v>
      </c>
      <c r="AH182" s="20" t="s">
        <v>52</v>
      </c>
      <c r="AI182" s="20" t="s">
        <v>52</v>
      </c>
      <c r="AJ182" s="20" t="s">
        <v>52</v>
      </c>
      <c r="AK182" s="20" t="s">
        <v>252</v>
      </c>
      <c r="AN182" s="20" t="s">
        <v>1424</v>
      </c>
      <c r="AR182" s="20" t="s">
        <v>284</v>
      </c>
      <c r="AV182" s="20" t="s">
        <v>228</v>
      </c>
      <c r="AW182" s="20" t="s">
        <v>94</v>
      </c>
    </row>
    <row r="183" spans="1:49" s="20" customFormat="1" x14ac:dyDescent="0.3">
      <c r="A183" s="20" t="s">
        <v>2449</v>
      </c>
      <c r="C183" s="20" t="s">
        <v>94</v>
      </c>
      <c r="E183" s="20" t="s">
        <v>301</v>
      </c>
      <c r="G183" s="20" t="s">
        <v>383</v>
      </c>
      <c r="M183" s="6" t="s">
        <v>795</v>
      </c>
      <c r="N183" s="7" t="s">
        <v>2450</v>
      </c>
      <c r="R183" s="20" t="s">
        <v>429</v>
      </c>
      <c r="S183" s="20" t="s">
        <v>380</v>
      </c>
      <c r="U183" s="20" t="s">
        <v>777</v>
      </c>
      <c r="Y183" s="1" t="s">
        <v>321</v>
      </c>
      <c r="AC183" s="1" t="s">
        <v>311</v>
      </c>
      <c r="AG183" s="1" t="s">
        <v>284</v>
      </c>
      <c r="AH183" s="20" t="s">
        <v>52</v>
      </c>
      <c r="AI183" s="20" t="s">
        <v>52</v>
      </c>
      <c r="AJ183" s="20" t="s">
        <v>52</v>
      </c>
      <c r="AK183" s="20" t="s">
        <v>321</v>
      </c>
      <c r="AN183" s="20" t="s">
        <v>311</v>
      </c>
      <c r="AR183" s="20" t="s">
        <v>777</v>
      </c>
      <c r="AV183" s="20" t="s">
        <v>172</v>
      </c>
      <c r="AW183" s="20" t="s">
        <v>134</v>
      </c>
    </row>
    <row r="184" spans="1:49" s="20" customFormat="1" x14ac:dyDescent="0.3">
      <c r="A184" s="20" t="s">
        <v>2451</v>
      </c>
      <c r="C184" s="20" t="s">
        <v>1234</v>
      </c>
      <c r="E184" s="20" t="s">
        <v>1234</v>
      </c>
      <c r="G184" s="20" t="s">
        <v>1234</v>
      </c>
      <c r="M184" s="20" t="s">
        <v>1234</v>
      </c>
      <c r="N184" s="20" t="s">
        <v>1234</v>
      </c>
      <c r="R184" s="20" t="s">
        <v>1234</v>
      </c>
      <c r="S184" s="20" t="s">
        <v>1234</v>
      </c>
      <c r="U184" s="20" t="s">
        <v>1234</v>
      </c>
      <c r="Y184" s="20" t="s">
        <v>1234</v>
      </c>
      <c r="AC184" s="20" t="s">
        <v>1234</v>
      </c>
      <c r="AG184" s="20" t="s">
        <v>1234</v>
      </c>
      <c r="AH184" s="20" t="s">
        <v>1234</v>
      </c>
      <c r="AI184" s="20" t="s">
        <v>1234</v>
      </c>
      <c r="AJ184" s="20" t="s">
        <v>1234</v>
      </c>
      <c r="AK184" s="20" t="s">
        <v>1234</v>
      </c>
      <c r="AN184" s="20" t="s">
        <v>1234</v>
      </c>
      <c r="AR184" s="20" t="s">
        <v>1234</v>
      </c>
      <c r="AV184" s="20" t="s">
        <v>1234</v>
      </c>
      <c r="AW184" s="20" t="s">
        <v>1234</v>
      </c>
    </row>
    <row r="185" spans="1:49" s="20" customFormat="1" x14ac:dyDescent="0.3">
      <c r="A185" s="20" t="s">
        <v>2452</v>
      </c>
      <c r="C185" s="20" t="s">
        <v>386</v>
      </c>
      <c r="E185" s="20" t="s">
        <v>297</v>
      </c>
      <c r="G185" s="20" t="s">
        <v>1627</v>
      </c>
      <c r="R185" s="20" t="s">
        <v>638</v>
      </c>
      <c r="S185" s="20" t="s">
        <v>380</v>
      </c>
      <c r="U185" s="20" t="s">
        <v>539</v>
      </c>
      <c r="Y185" s="20" t="s">
        <v>438</v>
      </c>
      <c r="AC185" s="20" t="s">
        <v>438</v>
      </c>
      <c r="AG185" s="20" t="s">
        <v>121</v>
      </c>
      <c r="AH185" s="20" t="s">
        <v>52</v>
      </c>
      <c r="AI185" s="20" t="s">
        <v>52</v>
      </c>
      <c r="AJ185" s="20" t="s">
        <v>52</v>
      </c>
      <c r="AK185" s="20" t="s">
        <v>180</v>
      </c>
      <c r="AN185" s="20" t="s">
        <v>155</v>
      </c>
      <c r="AR185" s="20" t="s">
        <v>298</v>
      </c>
      <c r="AV185" s="20" t="s">
        <v>133</v>
      </c>
      <c r="AW185" s="20" t="s">
        <v>274</v>
      </c>
    </row>
    <row r="186" spans="1:49" s="20" customFormat="1" x14ac:dyDescent="0.3">
      <c r="A186" s="20" t="s">
        <v>2453</v>
      </c>
      <c r="C186" s="20" t="s">
        <v>73</v>
      </c>
      <c r="E186" s="20" t="s">
        <v>531</v>
      </c>
      <c r="G186" s="20" t="s">
        <v>147</v>
      </c>
      <c r="R186" s="20" t="s">
        <v>429</v>
      </c>
      <c r="S186" s="20" t="s">
        <v>380</v>
      </c>
      <c r="W186" s="20" t="s">
        <v>381</v>
      </c>
      <c r="AB186" s="20" t="s">
        <v>372</v>
      </c>
      <c r="AE186" s="20" t="s">
        <v>381</v>
      </c>
      <c r="AF186" s="20" t="s">
        <v>263</v>
      </c>
      <c r="AH186" s="20" t="s">
        <v>52</v>
      </c>
      <c r="AI186" s="20" t="s">
        <v>52</v>
      </c>
      <c r="AJ186" s="20" t="s">
        <v>52</v>
      </c>
      <c r="AK186" s="1" t="s">
        <v>871</v>
      </c>
      <c r="AN186" s="1" t="s">
        <v>2491</v>
      </c>
      <c r="AR186" s="20" t="s">
        <v>2496</v>
      </c>
      <c r="AV186" s="20" t="s">
        <v>107</v>
      </c>
      <c r="AW186" s="20" t="s">
        <v>274</v>
      </c>
    </row>
    <row r="187" spans="1:49" s="20" customFormat="1" x14ac:dyDescent="0.3">
      <c r="A187" s="20" t="s">
        <v>2454</v>
      </c>
      <c r="C187" s="20" t="s">
        <v>460</v>
      </c>
      <c r="E187" s="20" t="s">
        <v>284</v>
      </c>
      <c r="G187" s="20" t="s">
        <v>429</v>
      </c>
      <c r="R187" s="20" t="s">
        <v>2482</v>
      </c>
      <c r="S187" s="20" t="s">
        <v>2417</v>
      </c>
      <c r="W187" s="20" t="s">
        <v>438</v>
      </c>
      <c r="AB187" s="20" t="s">
        <v>2483</v>
      </c>
      <c r="AE187" s="20" t="s">
        <v>386</v>
      </c>
      <c r="AF187" s="20" t="s">
        <v>121</v>
      </c>
      <c r="AH187" s="20" t="s">
        <v>52</v>
      </c>
      <c r="AI187" s="20" t="s">
        <v>52</v>
      </c>
      <c r="AJ187" s="20" t="s">
        <v>52</v>
      </c>
      <c r="AK187" s="20" t="s">
        <v>1037</v>
      </c>
      <c r="AN187" s="20" t="s">
        <v>1174</v>
      </c>
      <c r="AR187" s="20" t="s">
        <v>430</v>
      </c>
      <c r="AV187" s="20" t="s">
        <v>107</v>
      </c>
      <c r="AW187" s="20" t="s">
        <v>134</v>
      </c>
    </row>
    <row r="188" spans="1:49" s="20" customFormat="1" x14ac:dyDescent="0.3">
      <c r="A188" s="20" t="s">
        <v>2455</v>
      </c>
      <c r="C188" s="20" t="s">
        <v>160</v>
      </c>
      <c r="E188" s="20" t="s">
        <v>133</v>
      </c>
      <c r="G188" s="20" t="s">
        <v>297</v>
      </c>
      <c r="R188" s="20" t="s">
        <v>438</v>
      </c>
      <c r="S188" s="20" t="s">
        <v>380</v>
      </c>
      <c r="W188" s="20" t="s">
        <v>643</v>
      </c>
      <c r="AB188" s="1" t="s">
        <v>110</v>
      </c>
      <c r="AE188" s="22" t="s">
        <v>276</v>
      </c>
      <c r="AF188" s="20" t="s">
        <v>301</v>
      </c>
      <c r="AH188" s="20" t="s">
        <v>2490</v>
      </c>
      <c r="AI188" s="20" t="s">
        <v>501</v>
      </c>
      <c r="AJ188" s="20" t="s">
        <v>488</v>
      </c>
      <c r="AK188" s="1" t="s">
        <v>2492</v>
      </c>
      <c r="AN188" s="1" t="s">
        <v>730</v>
      </c>
      <c r="AR188" s="20" t="s">
        <v>121</v>
      </c>
      <c r="AV188" s="20" t="s">
        <v>147</v>
      </c>
      <c r="AW188" s="20" t="s">
        <v>249</v>
      </c>
    </row>
    <row r="189" spans="1:49" s="20" customFormat="1" x14ac:dyDescent="0.3">
      <c r="A189" s="20" t="s">
        <v>2456</v>
      </c>
      <c r="C189" s="20" t="s">
        <v>570</v>
      </c>
      <c r="E189" s="20" t="s">
        <v>263</v>
      </c>
      <c r="G189" s="20" t="s">
        <v>429</v>
      </c>
      <c r="R189" s="20" t="s">
        <v>2484</v>
      </c>
      <c r="S189" s="20" t="s">
        <v>1429</v>
      </c>
      <c r="W189" s="20" t="s">
        <v>380</v>
      </c>
      <c r="AB189" s="1" t="s">
        <v>117</v>
      </c>
      <c r="AE189" s="22" t="s">
        <v>832</v>
      </c>
      <c r="AF189" s="20" t="s">
        <v>374</v>
      </c>
      <c r="AH189" s="20" t="s">
        <v>52</v>
      </c>
      <c r="AI189" s="20" t="s">
        <v>52</v>
      </c>
      <c r="AJ189" s="20" t="s">
        <v>52</v>
      </c>
      <c r="AK189" s="20" t="s">
        <v>374</v>
      </c>
      <c r="AN189" s="20" t="s">
        <v>832</v>
      </c>
      <c r="AR189" s="20" t="s">
        <v>380</v>
      </c>
      <c r="AV189" s="20" t="s">
        <v>107</v>
      </c>
      <c r="AW189" s="20" t="s">
        <v>134</v>
      </c>
    </row>
    <row r="190" spans="1:49" s="20" customFormat="1" x14ac:dyDescent="0.3">
      <c r="A190" s="20" t="s">
        <v>2457</v>
      </c>
      <c r="C190" s="20" t="s">
        <v>90</v>
      </c>
      <c r="E190" s="20" t="s">
        <v>289</v>
      </c>
      <c r="G190" s="20" t="s">
        <v>380</v>
      </c>
      <c r="R190" s="20" t="s">
        <v>2482</v>
      </c>
      <c r="S190" s="20" t="s">
        <v>1429</v>
      </c>
      <c r="W190" s="20" t="s">
        <v>372</v>
      </c>
      <c r="AB190" s="1" t="s">
        <v>478</v>
      </c>
      <c r="AE190" s="22" t="s">
        <v>190</v>
      </c>
      <c r="AF190" s="20" t="s">
        <v>388</v>
      </c>
      <c r="AH190" s="20" t="s">
        <v>52</v>
      </c>
      <c r="AI190" s="20" t="s">
        <v>52</v>
      </c>
      <c r="AJ190" s="20" t="s">
        <v>52</v>
      </c>
      <c r="AK190" s="20" t="s">
        <v>445</v>
      </c>
      <c r="AN190" s="20" t="s">
        <v>507</v>
      </c>
      <c r="AR190" s="20" t="s">
        <v>430</v>
      </c>
      <c r="AV190" s="20" t="s">
        <v>107</v>
      </c>
      <c r="AW190" s="20" t="s">
        <v>158</v>
      </c>
    </row>
    <row r="191" spans="1:49" s="20" customFormat="1" x14ac:dyDescent="0.3">
      <c r="A191" s="20" t="s">
        <v>2458</v>
      </c>
      <c r="C191" s="20" t="s">
        <v>97</v>
      </c>
      <c r="E191" s="20" t="s">
        <v>172</v>
      </c>
      <c r="G191" s="20" t="s">
        <v>56</v>
      </c>
      <c r="R191" s="20" t="s">
        <v>429</v>
      </c>
      <c r="S191" s="20" t="s">
        <v>372</v>
      </c>
      <c r="U191" s="20" t="s">
        <v>1148</v>
      </c>
      <c r="Y191" s="1" t="s">
        <v>368</v>
      </c>
      <c r="AC191" s="1" t="s">
        <v>74</v>
      </c>
      <c r="AG191" s="20" t="s">
        <v>374</v>
      </c>
      <c r="AH191" s="20" t="s">
        <v>52</v>
      </c>
      <c r="AI191" s="20" t="s">
        <v>52</v>
      </c>
      <c r="AJ191" s="20" t="s">
        <v>52</v>
      </c>
      <c r="AK191" s="1" t="s">
        <v>1974</v>
      </c>
      <c r="AN191" s="1" t="s">
        <v>2372</v>
      </c>
      <c r="AR191" s="20" t="s">
        <v>2497</v>
      </c>
      <c r="AV191" s="20" t="s">
        <v>133</v>
      </c>
      <c r="AW191" s="20" t="s">
        <v>274</v>
      </c>
    </row>
    <row r="192" spans="1:49" s="20" customFormat="1" x14ac:dyDescent="0.3">
      <c r="A192" s="20" t="s">
        <v>2459</v>
      </c>
      <c r="C192" s="8" t="s">
        <v>251</v>
      </c>
      <c r="E192" s="1" t="s">
        <v>1735</v>
      </c>
      <c r="G192" s="20" t="s">
        <v>372</v>
      </c>
      <c r="M192" s="20" t="s">
        <v>506</v>
      </c>
      <c r="N192" s="1" t="s">
        <v>2460</v>
      </c>
      <c r="R192" s="20" t="s">
        <v>2482</v>
      </c>
      <c r="S192" s="20" t="s">
        <v>2417</v>
      </c>
      <c r="U192" s="20" t="s">
        <v>372</v>
      </c>
      <c r="Y192" s="1" t="s">
        <v>374</v>
      </c>
      <c r="AC192" s="1" t="s">
        <v>2485</v>
      </c>
      <c r="AG192" s="20" t="s">
        <v>228</v>
      </c>
      <c r="AH192" s="20" t="s">
        <v>52</v>
      </c>
      <c r="AI192" s="20" t="s">
        <v>52</v>
      </c>
      <c r="AJ192" s="20" t="s">
        <v>52</v>
      </c>
      <c r="AK192" s="1" t="s">
        <v>2493</v>
      </c>
      <c r="AN192" s="1" t="s">
        <v>2494</v>
      </c>
      <c r="AR192" s="20" t="s">
        <v>1148</v>
      </c>
      <c r="AV192" s="20" t="s">
        <v>158</v>
      </c>
      <c r="AW192" s="20" t="s">
        <v>249</v>
      </c>
    </row>
    <row r="193" spans="1:49" s="20" customFormat="1" x14ac:dyDescent="0.3">
      <c r="A193" s="20" t="s">
        <v>2461</v>
      </c>
      <c r="C193" s="20" t="s">
        <v>756</v>
      </c>
      <c r="E193" s="20" t="s">
        <v>386</v>
      </c>
      <c r="G193" s="20" t="s">
        <v>110</v>
      </c>
      <c r="M193" s="20" t="s">
        <v>457</v>
      </c>
      <c r="N193" s="20" t="s">
        <v>1014</v>
      </c>
      <c r="R193" s="20" t="s">
        <v>438</v>
      </c>
      <c r="S193" s="20" t="s">
        <v>371</v>
      </c>
      <c r="U193" s="20" t="s">
        <v>1093</v>
      </c>
      <c r="Y193" s="20" t="s">
        <v>372</v>
      </c>
      <c r="AC193" s="20" t="s">
        <v>1098</v>
      </c>
      <c r="AG193" s="20" t="s">
        <v>134</v>
      </c>
      <c r="AH193" s="20" t="s">
        <v>52</v>
      </c>
      <c r="AI193" s="20" t="s">
        <v>52</v>
      </c>
      <c r="AJ193" s="20" t="s">
        <v>52</v>
      </c>
      <c r="AK193" s="20" t="s">
        <v>155</v>
      </c>
      <c r="AN193" s="20" t="s">
        <v>446</v>
      </c>
      <c r="AR193" s="20" t="s">
        <v>810</v>
      </c>
      <c r="AV193" s="20" t="s">
        <v>228</v>
      </c>
      <c r="AW193" s="20" t="s">
        <v>249</v>
      </c>
    </row>
    <row r="194" spans="1:49" s="20" customFormat="1" x14ac:dyDescent="0.3">
      <c r="A194" s="20" t="s">
        <v>2462</v>
      </c>
      <c r="C194" s="20" t="s">
        <v>756</v>
      </c>
      <c r="E194" s="20" t="s">
        <v>96</v>
      </c>
      <c r="G194" s="20" t="s">
        <v>60</v>
      </c>
      <c r="M194" s="20" t="s">
        <v>362</v>
      </c>
      <c r="N194" s="27" t="s">
        <v>1015</v>
      </c>
      <c r="R194" s="20" t="s">
        <v>380</v>
      </c>
      <c r="S194" s="20" t="s">
        <v>372</v>
      </c>
      <c r="U194" s="20" t="s">
        <v>167</v>
      </c>
      <c r="Y194" s="20" t="s">
        <v>363</v>
      </c>
      <c r="AC194" s="8" t="s">
        <v>554</v>
      </c>
      <c r="AG194" s="20" t="s">
        <v>133</v>
      </c>
      <c r="AH194" s="20" t="s">
        <v>52</v>
      </c>
      <c r="AI194" s="20" t="s">
        <v>52</v>
      </c>
      <c r="AJ194" s="20" t="s">
        <v>52</v>
      </c>
      <c r="AK194" s="20" t="s">
        <v>123</v>
      </c>
      <c r="AN194" s="20" t="s">
        <v>276</v>
      </c>
      <c r="AR194" s="20" t="s">
        <v>1164</v>
      </c>
      <c r="AV194" s="20" t="s">
        <v>133</v>
      </c>
      <c r="AW194" s="20" t="s">
        <v>134</v>
      </c>
    </row>
    <row r="195" spans="1:49" s="20" customFormat="1" x14ac:dyDescent="0.3">
      <c r="A195" s="20" t="s">
        <v>2463</v>
      </c>
      <c r="C195" s="20" t="s">
        <v>643</v>
      </c>
      <c r="E195" s="20" t="s">
        <v>553</v>
      </c>
      <c r="G195" s="20" t="s">
        <v>167</v>
      </c>
      <c r="M195" s="20" t="s">
        <v>2464</v>
      </c>
      <c r="N195" s="20" t="s">
        <v>2465</v>
      </c>
      <c r="R195" s="20" t="s">
        <v>429</v>
      </c>
      <c r="S195" s="20" t="s">
        <v>430</v>
      </c>
      <c r="U195" s="20" t="s">
        <v>380</v>
      </c>
      <c r="Y195" s="20" t="s">
        <v>429</v>
      </c>
      <c r="AC195" s="20" t="s">
        <v>429</v>
      </c>
      <c r="AG195" s="20" t="s">
        <v>133</v>
      </c>
      <c r="AH195" s="20" t="s">
        <v>52</v>
      </c>
      <c r="AI195" s="20" t="s">
        <v>52</v>
      </c>
      <c r="AJ195" s="20" t="s">
        <v>52</v>
      </c>
      <c r="AK195" s="20" t="s">
        <v>388</v>
      </c>
      <c r="AN195" s="20" t="s">
        <v>155</v>
      </c>
      <c r="AR195" s="20" t="s">
        <v>2495</v>
      </c>
      <c r="AV195" s="20" t="s">
        <v>133</v>
      </c>
      <c r="AW195" s="20" t="s">
        <v>134</v>
      </c>
    </row>
    <row r="196" spans="1:49" s="20" customFormat="1" x14ac:dyDescent="0.3">
      <c r="A196" s="20" t="s">
        <v>2466</v>
      </c>
      <c r="C196" s="20" t="s">
        <v>710</v>
      </c>
      <c r="E196" s="20" t="s">
        <v>643</v>
      </c>
      <c r="G196" s="20" t="s">
        <v>449</v>
      </c>
      <c r="M196" s="20" t="s">
        <v>720</v>
      </c>
      <c r="N196" s="27" t="s">
        <v>2324</v>
      </c>
      <c r="R196" s="20" t="s">
        <v>429</v>
      </c>
      <c r="S196" s="20" t="s">
        <v>381</v>
      </c>
      <c r="U196" s="20" t="s">
        <v>429</v>
      </c>
      <c r="Y196" s="20" t="s">
        <v>438</v>
      </c>
      <c r="AC196" s="20" t="s">
        <v>380</v>
      </c>
      <c r="AG196" s="20" t="s">
        <v>107</v>
      </c>
      <c r="AH196" s="20" t="s">
        <v>52</v>
      </c>
      <c r="AI196" s="20" t="s">
        <v>52</v>
      </c>
      <c r="AJ196" s="20" t="s">
        <v>52</v>
      </c>
      <c r="AK196" s="20" t="s">
        <v>59</v>
      </c>
      <c r="AN196" s="20" t="s">
        <v>147</v>
      </c>
      <c r="AR196" s="20" t="s">
        <v>123</v>
      </c>
      <c r="AV196" s="20" t="s">
        <v>71</v>
      </c>
      <c r="AW196" s="20" t="s">
        <v>158</v>
      </c>
    </row>
    <row r="197" spans="1:49" s="20" customFormat="1" x14ac:dyDescent="0.3">
      <c r="A197" s="20" t="s">
        <v>2467</v>
      </c>
      <c r="C197" s="20" t="s">
        <v>368</v>
      </c>
      <c r="E197" s="20" t="s">
        <v>49</v>
      </c>
      <c r="G197" s="20" t="s">
        <v>386</v>
      </c>
      <c r="R197" s="20" t="s">
        <v>429</v>
      </c>
      <c r="S197" s="20" t="s">
        <v>430</v>
      </c>
      <c r="U197" s="20" t="s">
        <v>429</v>
      </c>
      <c r="Y197" s="20" t="s">
        <v>372</v>
      </c>
      <c r="AC197" s="20" t="s">
        <v>371</v>
      </c>
      <c r="AG197" s="20" t="s">
        <v>134</v>
      </c>
      <c r="AH197" s="20" t="s">
        <v>52</v>
      </c>
      <c r="AI197" s="20" t="s">
        <v>52</v>
      </c>
      <c r="AJ197" s="20" t="s">
        <v>52</v>
      </c>
      <c r="AK197" s="27" t="s">
        <v>507</v>
      </c>
      <c r="AN197" s="27" t="s">
        <v>150</v>
      </c>
      <c r="AR197" s="20" t="s">
        <v>322</v>
      </c>
      <c r="AV197" s="20" t="s">
        <v>107</v>
      </c>
      <c r="AW197" s="20" t="s">
        <v>94</v>
      </c>
    </row>
    <row r="198" spans="1:49" s="20" customFormat="1" x14ac:dyDescent="0.3">
      <c r="A198" s="20" t="s">
        <v>2468</v>
      </c>
      <c r="C198" s="20" t="s">
        <v>429</v>
      </c>
      <c r="E198" s="20" t="s">
        <v>429</v>
      </c>
      <c r="G198" s="20" t="s">
        <v>2469</v>
      </c>
      <c r="R198" s="20" t="s">
        <v>2486</v>
      </c>
      <c r="S198" s="20" t="s">
        <v>1429</v>
      </c>
      <c r="W198" s="20" t="s">
        <v>2418</v>
      </c>
      <c r="AB198" s="20" t="s">
        <v>2487</v>
      </c>
      <c r="AE198" s="20" t="s">
        <v>2487</v>
      </c>
      <c r="AF198" s="20" t="s">
        <v>388</v>
      </c>
      <c r="AH198" s="20" t="s">
        <v>52</v>
      </c>
      <c r="AI198" s="20" t="s">
        <v>52</v>
      </c>
      <c r="AJ198" s="20" t="s">
        <v>52</v>
      </c>
      <c r="AK198" s="20" t="s">
        <v>430</v>
      </c>
      <c r="AN198" s="20" t="s">
        <v>430</v>
      </c>
      <c r="AR198" s="20" t="s">
        <v>1228</v>
      </c>
      <c r="AV198" s="20" t="s">
        <v>147</v>
      </c>
      <c r="AW198" s="20" t="s">
        <v>60</v>
      </c>
    </row>
    <row r="199" spans="1:49" s="20" customFormat="1" x14ac:dyDescent="0.3">
      <c r="A199" s="20" t="s">
        <v>2470</v>
      </c>
      <c r="C199" s="20" t="s">
        <v>438</v>
      </c>
      <c r="E199" s="20" t="s">
        <v>372</v>
      </c>
      <c r="G199" s="20" t="s">
        <v>1228</v>
      </c>
      <c r="R199" s="20" t="s">
        <v>2488</v>
      </c>
      <c r="S199" s="20" t="s">
        <v>429</v>
      </c>
      <c r="W199" s="20" t="s">
        <v>1228</v>
      </c>
      <c r="AB199" s="20" t="s">
        <v>438</v>
      </c>
      <c r="AE199" s="20" t="s">
        <v>372</v>
      </c>
      <c r="AF199" s="20" t="s">
        <v>374</v>
      </c>
      <c r="AH199" s="20" t="s">
        <v>52</v>
      </c>
      <c r="AI199" s="20" t="s">
        <v>52</v>
      </c>
      <c r="AJ199" s="20" t="s">
        <v>52</v>
      </c>
      <c r="AK199" s="20" t="s">
        <v>881</v>
      </c>
      <c r="AN199" s="27" t="s">
        <v>1137</v>
      </c>
      <c r="AR199" s="20" t="s">
        <v>710</v>
      </c>
      <c r="AV199" s="20" t="s">
        <v>147</v>
      </c>
      <c r="AW199" s="20" t="s">
        <v>60</v>
      </c>
    </row>
    <row r="200" spans="1:49" s="20" customFormat="1" x14ac:dyDescent="0.3">
      <c r="A200" s="20" t="s">
        <v>2471</v>
      </c>
      <c r="C200" s="20" t="s">
        <v>194</v>
      </c>
      <c r="E200" s="20" t="s">
        <v>74</v>
      </c>
      <c r="G200" s="20" t="s">
        <v>1016</v>
      </c>
      <c r="R200" s="20" t="s">
        <v>638</v>
      </c>
      <c r="S200" s="20" t="s">
        <v>380</v>
      </c>
      <c r="W200" s="20" t="s">
        <v>1228</v>
      </c>
      <c r="AB200" s="20" t="s">
        <v>1226</v>
      </c>
      <c r="AE200" s="20" t="s">
        <v>438</v>
      </c>
      <c r="AF200" s="20" t="s">
        <v>391</v>
      </c>
      <c r="AH200" s="20" t="s">
        <v>52</v>
      </c>
      <c r="AI200" s="20" t="s">
        <v>52</v>
      </c>
      <c r="AJ200" s="20" t="s">
        <v>52</v>
      </c>
      <c r="AK200" s="27" t="s">
        <v>729</v>
      </c>
      <c r="AN200" s="20" t="s">
        <v>417</v>
      </c>
      <c r="AR200" s="20" t="s">
        <v>97</v>
      </c>
      <c r="AV200" s="20" t="s">
        <v>147</v>
      </c>
      <c r="AW200" s="20" t="s">
        <v>158</v>
      </c>
    </row>
    <row r="201" spans="1:49" s="20" customFormat="1" x14ac:dyDescent="0.3">
      <c r="A201" s="20" t="s">
        <v>2472</v>
      </c>
      <c r="C201" s="20" t="s">
        <v>541</v>
      </c>
      <c r="E201" s="20" t="s">
        <v>403</v>
      </c>
      <c r="G201" s="20" t="s">
        <v>429</v>
      </c>
      <c r="R201" s="20" t="s">
        <v>2482</v>
      </c>
      <c r="S201" s="20" t="s">
        <v>1429</v>
      </c>
      <c r="W201" s="20" t="s">
        <v>2488</v>
      </c>
      <c r="AB201" s="20" t="s">
        <v>429</v>
      </c>
      <c r="AE201" s="20" t="s">
        <v>380</v>
      </c>
      <c r="AF201" s="20" t="s">
        <v>301</v>
      </c>
      <c r="AH201" s="20" t="s">
        <v>52</v>
      </c>
      <c r="AI201" s="20" t="s">
        <v>52</v>
      </c>
      <c r="AJ201" s="20" t="s">
        <v>52</v>
      </c>
      <c r="AK201" s="27" t="s">
        <v>1992</v>
      </c>
      <c r="AN201" s="20" t="s">
        <v>1735</v>
      </c>
      <c r="AR201" s="20" t="s">
        <v>1092</v>
      </c>
      <c r="AV201" s="20" t="s">
        <v>228</v>
      </c>
      <c r="AW201" s="20" t="s">
        <v>133</v>
      </c>
    </row>
    <row r="202" spans="1:49" s="20" customFormat="1" x14ac:dyDescent="0.3">
      <c r="A202" s="20" t="s">
        <v>2473</v>
      </c>
      <c r="C202" s="20" t="s">
        <v>554</v>
      </c>
      <c r="E202" s="20" t="s">
        <v>298</v>
      </c>
      <c r="G202" s="20" t="s">
        <v>438</v>
      </c>
      <c r="R202" s="20" t="s">
        <v>2482</v>
      </c>
      <c r="S202" s="20" t="s">
        <v>2489</v>
      </c>
      <c r="W202" s="20" t="s">
        <v>2482</v>
      </c>
      <c r="AB202" s="20" t="s">
        <v>438</v>
      </c>
      <c r="AE202" s="20" t="s">
        <v>429</v>
      </c>
      <c r="AF202" s="20" t="s">
        <v>388</v>
      </c>
      <c r="AH202" s="20" t="s">
        <v>52</v>
      </c>
      <c r="AI202" s="20" t="s">
        <v>52</v>
      </c>
      <c r="AJ202" s="20" t="s">
        <v>52</v>
      </c>
      <c r="AK202" s="20" t="s">
        <v>873</v>
      </c>
      <c r="AN202" s="27" t="s">
        <v>467</v>
      </c>
      <c r="AR202" s="20" t="s">
        <v>372</v>
      </c>
      <c r="AV202" s="20" t="s">
        <v>147</v>
      </c>
      <c r="AW202" s="20" t="s">
        <v>60</v>
      </c>
    </row>
    <row r="203" spans="1:49" s="20" customFormat="1" x14ac:dyDescent="0.3">
      <c r="A203" s="20" t="s">
        <v>2474</v>
      </c>
      <c r="C203" s="20" t="s">
        <v>698</v>
      </c>
      <c r="E203" s="20" t="s">
        <v>368</v>
      </c>
      <c r="G203" s="20" t="s">
        <v>409</v>
      </c>
      <c r="R203" s="20" t="s">
        <v>1224</v>
      </c>
      <c r="S203" s="20" t="s">
        <v>380</v>
      </c>
      <c r="U203" s="20" t="s">
        <v>1224</v>
      </c>
      <c r="Y203" s="20" t="s">
        <v>429</v>
      </c>
      <c r="AC203" s="20" t="s">
        <v>372</v>
      </c>
      <c r="AG203" s="20" t="s">
        <v>263</v>
      </c>
      <c r="AK203" s="20" t="s">
        <v>245</v>
      </c>
      <c r="AN203" s="20" t="s">
        <v>79</v>
      </c>
      <c r="AR203" s="20" t="s">
        <v>541</v>
      </c>
      <c r="AV203" s="20" t="s">
        <v>71</v>
      </c>
      <c r="AW203" s="20" t="s">
        <v>94</v>
      </c>
    </row>
    <row r="204" spans="1:49" s="20" customFormat="1" x14ac:dyDescent="0.3">
      <c r="A204" s="20" t="s">
        <v>2475</v>
      </c>
      <c r="C204" s="20" t="s">
        <v>304</v>
      </c>
      <c r="E204" s="20" t="s">
        <v>460</v>
      </c>
      <c r="G204" s="20" t="s">
        <v>643</v>
      </c>
      <c r="M204" s="20" t="s">
        <v>445</v>
      </c>
      <c r="N204" s="20" t="s">
        <v>1142</v>
      </c>
      <c r="R204" s="20" t="s">
        <v>438</v>
      </c>
      <c r="S204" s="20" t="s">
        <v>380</v>
      </c>
      <c r="U204" s="20" t="s">
        <v>372</v>
      </c>
      <c r="Y204" s="20" t="s">
        <v>372</v>
      </c>
      <c r="AC204" s="20" t="s">
        <v>1147</v>
      </c>
      <c r="AG204" s="20" t="s">
        <v>56</v>
      </c>
      <c r="AK204" s="20" t="s">
        <v>107</v>
      </c>
      <c r="AN204" s="20" t="s">
        <v>276</v>
      </c>
      <c r="AR204" s="20" t="s">
        <v>793</v>
      </c>
      <c r="AV204" s="20" t="s">
        <v>107</v>
      </c>
      <c r="AW204" s="20" t="s">
        <v>158</v>
      </c>
    </row>
    <row r="205" spans="1:49" s="20" customFormat="1" x14ac:dyDescent="0.3">
      <c r="A205" s="20" t="s">
        <v>2476</v>
      </c>
      <c r="C205" s="20" t="s">
        <v>74</v>
      </c>
      <c r="E205" s="20" t="s">
        <v>245</v>
      </c>
      <c r="G205" s="20" t="s">
        <v>289</v>
      </c>
      <c r="M205" s="20" t="s">
        <v>1142</v>
      </c>
      <c r="N205" s="20" t="s">
        <v>867</v>
      </c>
      <c r="R205" s="20" t="s">
        <v>429</v>
      </c>
      <c r="S205" s="20" t="s">
        <v>372</v>
      </c>
      <c r="U205" s="20" t="s">
        <v>1627</v>
      </c>
      <c r="Y205" s="20" t="s">
        <v>1092</v>
      </c>
      <c r="AC205" s="20" t="s">
        <v>1098</v>
      </c>
      <c r="AG205" s="20" t="s">
        <v>134</v>
      </c>
      <c r="AK205" s="1" t="s">
        <v>2495</v>
      </c>
      <c r="AN205" s="1" t="s">
        <v>730</v>
      </c>
      <c r="AR205" s="20" t="s">
        <v>2498</v>
      </c>
      <c r="AV205" s="20" t="s">
        <v>228</v>
      </c>
      <c r="AW205" s="20" t="s">
        <v>158</v>
      </c>
    </row>
    <row r="206" spans="1:49" s="20" customFormat="1" x14ac:dyDescent="0.3">
      <c r="A206" s="20" t="s">
        <v>2477</v>
      </c>
      <c r="C206" s="20" t="s">
        <v>50</v>
      </c>
      <c r="E206" s="20" t="s">
        <v>541</v>
      </c>
      <c r="G206" s="20" t="s">
        <v>117</v>
      </c>
      <c r="M206" s="20" t="s">
        <v>67</v>
      </c>
      <c r="N206" s="20" t="s">
        <v>1061</v>
      </c>
      <c r="R206" s="20" t="s">
        <v>429</v>
      </c>
      <c r="S206" s="20" t="s">
        <v>371</v>
      </c>
      <c r="U206" s="20" t="s">
        <v>438</v>
      </c>
      <c r="Y206" s="20" t="s">
        <v>548</v>
      </c>
      <c r="AC206" s="20" t="s">
        <v>438</v>
      </c>
      <c r="AG206" s="20" t="s">
        <v>133</v>
      </c>
      <c r="AK206" s="20" t="s">
        <v>445</v>
      </c>
      <c r="AN206" s="20" t="s">
        <v>745</v>
      </c>
      <c r="AR206" s="20" t="s">
        <v>2499</v>
      </c>
      <c r="AV206" s="20" t="s">
        <v>228</v>
      </c>
      <c r="AW206" s="20" t="s">
        <v>133</v>
      </c>
    </row>
    <row r="207" spans="1:49" s="20" customFormat="1" x14ac:dyDescent="0.3">
      <c r="A207" s="20" t="s">
        <v>2478</v>
      </c>
      <c r="C207" s="20" t="s">
        <v>110</v>
      </c>
      <c r="E207" s="20" t="s">
        <v>793</v>
      </c>
      <c r="G207" s="20" t="s">
        <v>1252</v>
      </c>
      <c r="M207" s="20" t="s">
        <v>866</v>
      </c>
      <c r="N207" s="20" t="s">
        <v>1097</v>
      </c>
      <c r="R207" s="20" t="s">
        <v>380</v>
      </c>
      <c r="S207" s="20" t="s">
        <v>430</v>
      </c>
      <c r="U207" s="20" t="s">
        <v>438</v>
      </c>
      <c r="Y207" s="20" t="s">
        <v>1086</v>
      </c>
      <c r="AC207" s="20" t="s">
        <v>438</v>
      </c>
      <c r="AG207" s="27" t="s">
        <v>284</v>
      </c>
      <c r="AK207" s="20" t="s">
        <v>1033</v>
      </c>
      <c r="AN207" s="20" t="s">
        <v>1174</v>
      </c>
      <c r="AR207" s="20" t="s">
        <v>627</v>
      </c>
      <c r="AV207" s="20" t="s">
        <v>133</v>
      </c>
      <c r="AW207" s="20" t="s">
        <v>134</v>
      </c>
    </row>
    <row r="208" spans="1:49" s="20" customFormat="1" x14ac:dyDescent="0.3">
      <c r="A208" s="20" t="s">
        <v>2479</v>
      </c>
      <c r="C208" s="20" t="s">
        <v>793</v>
      </c>
      <c r="E208" s="20" t="s">
        <v>274</v>
      </c>
      <c r="G208" s="20" t="s">
        <v>446</v>
      </c>
      <c r="M208" s="20" t="s">
        <v>327</v>
      </c>
      <c r="N208" s="20" t="s">
        <v>2480</v>
      </c>
      <c r="R208" s="20" t="s">
        <v>429</v>
      </c>
      <c r="S208" s="20" t="s">
        <v>372</v>
      </c>
      <c r="U208" s="20" t="s">
        <v>407</v>
      </c>
      <c r="Y208" s="27" t="s">
        <v>570</v>
      </c>
      <c r="AC208" s="27" t="s">
        <v>1037</v>
      </c>
      <c r="AG208" s="27" t="s">
        <v>97</v>
      </c>
      <c r="AK208" s="27" t="s">
        <v>1484</v>
      </c>
      <c r="AN208" s="27" t="s">
        <v>1710</v>
      </c>
      <c r="AR208" s="20" t="s">
        <v>2401</v>
      </c>
      <c r="AV208" s="20" t="s">
        <v>71</v>
      </c>
      <c r="AW208" s="20" t="s">
        <v>158</v>
      </c>
    </row>
    <row r="209" spans="1:49" s="20" customFormat="1" x14ac:dyDescent="0.3">
      <c r="W209" s="6"/>
    </row>
    <row r="210" spans="1:49" s="20" customFormat="1" x14ac:dyDescent="0.3">
      <c r="W210" s="6"/>
    </row>
    <row r="211" spans="1:49" s="20" customFormat="1" x14ac:dyDescent="0.3">
      <c r="W211" s="6"/>
    </row>
    <row r="212" spans="1:49" s="20" customFormat="1" x14ac:dyDescent="0.3">
      <c r="W212" s="6"/>
    </row>
    <row r="213" spans="1:49" s="20" customFormat="1" x14ac:dyDescent="0.3">
      <c r="W213" s="6"/>
    </row>
    <row r="214" spans="1:49" s="20" customFormat="1" x14ac:dyDescent="0.3">
      <c r="W214" s="6"/>
    </row>
    <row r="215" spans="1:49" s="20" customFormat="1" x14ac:dyDescent="0.3">
      <c r="W215" s="6"/>
    </row>
    <row r="216" spans="1:49" s="20" customFormat="1" x14ac:dyDescent="0.3">
      <c r="W216" s="6"/>
    </row>
    <row r="217" spans="1:49" s="20" customFormat="1" x14ac:dyDescent="0.3">
      <c r="W217" s="6"/>
    </row>
    <row r="218" spans="1:49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S218" s="4"/>
      <c r="AT218" s="4"/>
      <c r="AU218" s="4"/>
      <c r="AV218" s="4"/>
      <c r="AW218" s="4"/>
    </row>
    <row r="219" spans="1:49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S219" s="4"/>
      <c r="AT219" s="4"/>
      <c r="AU219" s="4"/>
      <c r="AV219" s="4"/>
      <c r="AW219" s="4"/>
    </row>
    <row r="220" spans="1:49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S220" s="4"/>
      <c r="AT220" s="4"/>
      <c r="AU220" s="4"/>
      <c r="AV220" s="4"/>
      <c r="AW220" s="4"/>
    </row>
    <row r="221" spans="1:49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S221" s="4"/>
      <c r="AT221" s="4"/>
      <c r="AU221" s="4"/>
      <c r="AV221" s="4"/>
      <c r="AW221" s="4"/>
    </row>
    <row r="222" spans="1:49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S222" s="4"/>
      <c r="AT222" s="4"/>
      <c r="AU222" s="4"/>
      <c r="AV222" s="4"/>
      <c r="AW222" s="4"/>
    </row>
    <row r="223" spans="1:49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S223" s="4"/>
      <c r="AT223" s="4"/>
      <c r="AU223" s="4"/>
      <c r="AV223" s="4"/>
      <c r="AW223" s="4"/>
    </row>
    <row r="224" spans="1:49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S224" s="4"/>
      <c r="AT224" s="4"/>
      <c r="AU224" s="4"/>
      <c r="AV224" s="4"/>
      <c r="AW224" s="4"/>
    </row>
    <row r="225" spans="1:49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S225" s="4"/>
      <c r="AT225" s="4"/>
      <c r="AU225" s="4"/>
      <c r="AV225" s="4"/>
      <c r="AW225" s="4"/>
    </row>
    <row r="226" spans="1:49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S226" s="4"/>
      <c r="AT226" s="4"/>
      <c r="AU226" s="4"/>
      <c r="AV226" s="4"/>
      <c r="AW226" s="4"/>
    </row>
    <row r="227" spans="1:49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S227" s="4"/>
      <c r="AT227" s="4"/>
      <c r="AU227" s="4"/>
      <c r="AV227" s="4"/>
      <c r="AW227" s="4"/>
    </row>
    <row r="228" spans="1:49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S228" s="4"/>
      <c r="AT228" s="4"/>
      <c r="AU228" s="4"/>
      <c r="AV228" s="4"/>
      <c r="AW228" s="4"/>
    </row>
    <row r="229" spans="1:49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S229" s="4"/>
      <c r="AT229" s="4"/>
      <c r="AU229" s="4"/>
      <c r="AV229" s="4"/>
      <c r="AW229" s="4"/>
    </row>
    <row r="230" spans="1:49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S230" s="4"/>
      <c r="AT230" s="4"/>
      <c r="AU230" s="4"/>
      <c r="AV230" s="4"/>
      <c r="AW230" s="4"/>
    </row>
    <row r="231" spans="1:49" x14ac:dyDescent="0.3">
      <c r="A231" s="23" t="s">
        <v>2028</v>
      </c>
      <c r="B231" s="24"/>
      <c r="C231" s="24"/>
      <c r="D231" s="24"/>
      <c r="E231" s="2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S231" s="4"/>
      <c r="AT231" s="4"/>
      <c r="AU231" s="4"/>
      <c r="AV231" s="4"/>
      <c r="AW231" s="4"/>
    </row>
    <row r="232" spans="1:49" x14ac:dyDescent="0.3">
      <c r="A232" s="4"/>
      <c r="B232" s="4" t="s">
        <v>8</v>
      </c>
      <c r="C232" s="4" t="s">
        <v>8</v>
      </c>
      <c r="D232" s="4" t="s">
        <v>8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S232" s="4"/>
      <c r="AT232" s="4"/>
      <c r="AU232" s="4"/>
      <c r="AV232" s="4"/>
      <c r="AW232" s="4"/>
    </row>
    <row r="233" spans="1:49" x14ac:dyDescent="0.3">
      <c r="A233" s="4"/>
      <c r="B233" s="4" t="s">
        <v>1241</v>
      </c>
      <c r="C233" s="4" t="s">
        <v>23</v>
      </c>
      <c r="D233" s="4" t="s">
        <v>24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S233" s="4"/>
      <c r="AT233" s="4"/>
      <c r="AU233" s="4"/>
      <c r="AV233" s="4"/>
      <c r="AW233" s="4"/>
    </row>
    <row r="234" spans="1:49" x14ac:dyDescent="0.3">
      <c r="A234" s="4" t="s">
        <v>39</v>
      </c>
      <c r="B234" s="4" t="s">
        <v>41</v>
      </c>
      <c r="C234" s="4" t="s">
        <v>41</v>
      </c>
      <c r="D234" s="4" t="s">
        <v>45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S234" s="4"/>
      <c r="AT234" s="4"/>
      <c r="AU234" s="4"/>
      <c r="AV234" s="4"/>
      <c r="AW234" s="4"/>
    </row>
    <row r="235" spans="1:49" x14ac:dyDescent="0.3">
      <c r="A235" s="4" t="s">
        <v>584</v>
      </c>
      <c r="B235" s="4" t="s">
        <v>1192</v>
      </c>
      <c r="C235" s="4" t="s">
        <v>1191</v>
      </c>
      <c r="D235" s="4" t="s">
        <v>1191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S235" s="4"/>
      <c r="AT235" s="4"/>
      <c r="AU235" s="4"/>
      <c r="AV235" s="4"/>
      <c r="AW235" s="4"/>
    </row>
    <row r="236" spans="1:49" x14ac:dyDescent="0.3">
      <c r="A236" s="4" t="s">
        <v>600</v>
      </c>
      <c r="B236" s="4" t="s">
        <v>1192</v>
      </c>
      <c r="C236" s="4" t="s">
        <v>1191</v>
      </c>
      <c r="D236" s="4" t="s">
        <v>1191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S236" s="4"/>
      <c r="AT236" s="4"/>
      <c r="AU236" s="4"/>
      <c r="AV236" s="4"/>
      <c r="AW236" s="4"/>
    </row>
    <row r="237" spans="1:49" x14ac:dyDescent="0.3">
      <c r="A237" s="4" t="s">
        <v>614</v>
      </c>
      <c r="B237" s="4" t="s">
        <v>1192</v>
      </c>
      <c r="C237" s="4" t="s">
        <v>1191</v>
      </c>
      <c r="D237" s="4" t="s">
        <v>1191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S237" s="4"/>
      <c r="AT237" s="4"/>
      <c r="AU237" s="4"/>
      <c r="AV237" s="4"/>
      <c r="AW237" s="4"/>
    </row>
    <row r="238" spans="1:49" x14ac:dyDescent="0.3">
      <c r="A238" s="4" t="s">
        <v>633</v>
      </c>
      <c r="B238" s="4" t="s">
        <v>1192</v>
      </c>
      <c r="C238" s="4" t="s">
        <v>1191</v>
      </c>
      <c r="D238" s="4" t="s">
        <v>1191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S238" s="4"/>
      <c r="AT238" s="4"/>
      <c r="AU238" s="4"/>
      <c r="AV238" s="4"/>
      <c r="AW238" s="4"/>
    </row>
    <row r="239" spans="1:49" x14ac:dyDescent="0.3">
      <c r="A239" s="4" t="s">
        <v>652</v>
      </c>
      <c r="B239" s="4" t="s">
        <v>1192</v>
      </c>
      <c r="C239" s="4" t="s">
        <v>1191</v>
      </c>
      <c r="D239" s="4" t="s">
        <v>1191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S239" s="4"/>
      <c r="AT239" s="4"/>
      <c r="AU239" s="4"/>
      <c r="AV239" s="4"/>
      <c r="AW239" s="4"/>
    </row>
    <row r="240" spans="1:49" x14ac:dyDescent="0.3">
      <c r="A240" s="4" t="s">
        <v>666</v>
      </c>
      <c r="B240" s="4" t="s">
        <v>1192</v>
      </c>
      <c r="C240" s="4" t="s">
        <v>1191</v>
      </c>
      <c r="D240" s="4" t="s">
        <v>1191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S240" s="4"/>
      <c r="AT240" s="4"/>
      <c r="AU240" s="4"/>
      <c r="AV240" s="4"/>
      <c r="AW240" s="4"/>
    </row>
    <row r="241" spans="1:49" x14ac:dyDescent="0.3">
      <c r="A241" s="4" t="s">
        <v>680</v>
      </c>
      <c r="B241" s="4" t="s">
        <v>1192</v>
      </c>
      <c r="C241" s="4" t="s">
        <v>1191</v>
      </c>
      <c r="D241" s="4" t="s">
        <v>1191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S241" s="4"/>
      <c r="AT241" s="4"/>
      <c r="AU241" s="4"/>
      <c r="AV241" s="4"/>
      <c r="AW241" s="4"/>
    </row>
    <row r="242" spans="1:49" x14ac:dyDescent="0.3">
      <c r="A242" s="4" t="s">
        <v>692</v>
      </c>
      <c r="B242" s="4" t="s">
        <v>1192</v>
      </c>
      <c r="C242" s="4" t="s">
        <v>1191</v>
      </c>
      <c r="D242" s="4" t="s">
        <v>1191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S242" s="4"/>
      <c r="AT242" s="4"/>
      <c r="AU242" s="4"/>
      <c r="AV242" s="4"/>
      <c r="AW242" s="4"/>
    </row>
    <row r="243" spans="1:49" x14ac:dyDescent="0.3">
      <c r="A243" s="4" t="s">
        <v>703</v>
      </c>
      <c r="B243" s="4" t="s">
        <v>1192</v>
      </c>
      <c r="C243" s="4" t="s">
        <v>1191</v>
      </c>
      <c r="D243" s="4" t="s">
        <v>1191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S243" s="4"/>
      <c r="AT243" s="4"/>
      <c r="AU243" s="4"/>
      <c r="AV243" s="4"/>
      <c r="AW243" s="4"/>
    </row>
    <row r="244" spans="1:49" x14ac:dyDescent="0.3">
      <c r="A244" s="4" t="s">
        <v>718</v>
      </c>
      <c r="B244" s="4" t="s">
        <v>1192</v>
      </c>
      <c r="C244" s="4" t="s">
        <v>1191</v>
      </c>
      <c r="D244" s="4" t="s">
        <v>1191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S244" s="4"/>
      <c r="AT244" s="4"/>
      <c r="AU244" s="4"/>
      <c r="AV244" s="4"/>
      <c r="AW244" s="4"/>
    </row>
    <row r="245" spans="1:49" x14ac:dyDescent="0.3">
      <c r="A245" s="4" t="s">
        <v>734</v>
      </c>
      <c r="B245" s="4" t="s">
        <v>1192</v>
      </c>
      <c r="C245" s="4" t="s">
        <v>1191</v>
      </c>
      <c r="D245" s="4" t="s">
        <v>1191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S245" s="4"/>
      <c r="AT245" s="4"/>
      <c r="AU245" s="4"/>
      <c r="AV245" s="4"/>
      <c r="AW245" s="4"/>
    </row>
    <row r="246" spans="1:49" x14ac:dyDescent="0.3">
      <c r="A246" s="4" t="s">
        <v>747</v>
      </c>
      <c r="B246" s="4" t="s">
        <v>1192</v>
      </c>
      <c r="C246" s="4" t="s">
        <v>1191</v>
      </c>
      <c r="D246" s="4" t="s">
        <v>1191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S246" s="4"/>
      <c r="AT246" s="4"/>
      <c r="AU246" s="4"/>
      <c r="AV246" s="4"/>
      <c r="AW246" s="4"/>
    </row>
    <row r="247" spans="1:49" x14ac:dyDescent="0.3">
      <c r="A247" s="4" t="s">
        <v>762</v>
      </c>
      <c r="B247" s="4" t="s">
        <v>1192</v>
      </c>
      <c r="C247" s="4" t="s">
        <v>1191</v>
      </c>
      <c r="D247" s="4" t="s">
        <v>1191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S247" s="4"/>
      <c r="AT247" s="4"/>
      <c r="AU247" s="4"/>
      <c r="AV247" s="4"/>
      <c r="AW247" s="4"/>
    </row>
    <row r="248" spans="1:49" x14ac:dyDescent="0.3">
      <c r="A248" s="4" t="s">
        <v>780</v>
      </c>
      <c r="B248" s="4" t="s">
        <v>529</v>
      </c>
      <c r="C248" s="4" t="s">
        <v>1191</v>
      </c>
      <c r="D248" s="4" t="s">
        <v>1191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S248" s="4"/>
      <c r="AT248" s="4"/>
      <c r="AU248" s="4"/>
      <c r="AV248" s="4"/>
      <c r="AW248" s="4"/>
    </row>
    <row r="249" spans="1:49" x14ac:dyDescent="0.3">
      <c r="A249" s="4" t="s">
        <v>791</v>
      </c>
      <c r="B249" s="4" t="s">
        <v>1235</v>
      </c>
      <c r="C249" s="4" t="s">
        <v>1191</v>
      </c>
      <c r="D249" s="4" t="s">
        <v>1191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S249" s="4"/>
      <c r="AT249" s="4"/>
      <c r="AU249" s="4"/>
      <c r="AV249" s="4"/>
      <c r="AW249" s="4"/>
    </row>
    <row r="250" spans="1:49" x14ac:dyDescent="0.3">
      <c r="A250" s="4" t="s">
        <v>807</v>
      </c>
      <c r="B250" s="4" t="s">
        <v>1192</v>
      </c>
      <c r="C250" s="4" t="s">
        <v>1191</v>
      </c>
      <c r="D250" s="4" t="s">
        <v>1191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S250" s="4"/>
      <c r="AT250" s="4"/>
      <c r="AU250" s="4"/>
      <c r="AV250" s="4"/>
      <c r="AW250" s="4"/>
    </row>
    <row r="251" spans="1:49" x14ac:dyDescent="0.3">
      <c r="A251" s="4" t="s">
        <v>820</v>
      </c>
      <c r="B251" s="4" t="s">
        <v>529</v>
      </c>
      <c r="C251" s="4" t="s">
        <v>727</v>
      </c>
      <c r="D251" s="4" t="s">
        <v>727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S251" s="4"/>
      <c r="AT251" s="4"/>
      <c r="AU251" s="4"/>
      <c r="AV251" s="4"/>
      <c r="AW251" s="4"/>
    </row>
    <row r="252" spans="1:49" x14ac:dyDescent="0.3">
      <c r="A252" s="4" t="s">
        <v>835</v>
      </c>
      <c r="B252" s="4" t="s">
        <v>529</v>
      </c>
      <c r="C252" s="4" t="s">
        <v>1191</v>
      </c>
      <c r="D252" s="4" t="s">
        <v>1191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S252" s="4"/>
      <c r="AT252" s="4"/>
      <c r="AU252" s="4"/>
      <c r="AV252" s="4"/>
      <c r="AW252" s="4"/>
    </row>
    <row r="253" spans="1:49" x14ac:dyDescent="0.3">
      <c r="A253" s="4" t="s">
        <v>846</v>
      </c>
      <c r="B253" s="4" t="s">
        <v>529</v>
      </c>
      <c r="C253" s="4" t="s">
        <v>1191</v>
      </c>
      <c r="D253" s="4" t="s">
        <v>1191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S253" s="4"/>
      <c r="AT253" s="4"/>
      <c r="AU253" s="4"/>
      <c r="AV253" s="4"/>
      <c r="AW253" s="4"/>
    </row>
    <row r="254" spans="1:49" x14ac:dyDescent="0.3">
      <c r="A254" s="4" t="s">
        <v>856</v>
      </c>
      <c r="B254" s="4" t="s">
        <v>529</v>
      </c>
      <c r="C254" s="4" t="s">
        <v>1191</v>
      </c>
      <c r="D254" s="4" t="s">
        <v>1191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S254" s="4"/>
      <c r="AT254" s="4"/>
      <c r="AU254" s="4"/>
      <c r="AV254" s="4"/>
      <c r="AW254" s="4"/>
    </row>
    <row r="255" spans="1:49" x14ac:dyDescent="0.3">
      <c r="A255" s="4" t="s">
        <v>864</v>
      </c>
      <c r="B255" s="4" t="s">
        <v>529</v>
      </c>
      <c r="C255" s="4" t="s">
        <v>1191</v>
      </c>
      <c r="D255" s="4" t="s">
        <v>1191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S255" s="4"/>
      <c r="AT255" s="4"/>
      <c r="AU255" s="4"/>
      <c r="AV255" s="4"/>
      <c r="AW255" s="4"/>
    </row>
    <row r="256" spans="1:49" x14ac:dyDescent="0.3">
      <c r="A256" s="4" t="s">
        <v>875</v>
      </c>
      <c r="B256" s="4" t="s">
        <v>529</v>
      </c>
      <c r="C256" s="4" t="s">
        <v>1191</v>
      </c>
      <c r="D256" s="4" t="s">
        <v>1191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S256" s="4"/>
      <c r="AT256" s="4"/>
      <c r="AU256" s="4"/>
      <c r="AV256" s="4"/>
      <c r="AW256" s="4"/>
    </row>
    <row r="257" spans="1:49" x14ac:dyDescent="0.3">
      <c r="A257" s="4" t="s">
        <v>888</v>
      </c>
      <c r="B257" s="4" t="s">
        <v>529</v>
      </c>
      <c r="C257" s="4" t="s">
        <v>1191</v>
      </c>
      <c r="D257" s="4" t="s">
        <v>1191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S257" s="4"/>
      <c r="AT257" s="4"/>
      <c r="AU257" s="4"/>
      <c r="AV257" s="4"/>
      <c r="AW257" s="4"/>
    </row>
    <row r="258" spans="1:49" x14ac:dyDescent="0.3">
      <c r="A258" s="4" t="s">
        <v>902</v>
      </c>
      <c r="B258" s="4" t="s">
        <v>529</v>
      </c>
      <c r="C258" s="4" t="s">
        <v>1191</v>
      </c>
      <c r="D258" s="4" t="s">
        <v>1191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S258" s="4"/>
      <c r="AT258" s="4"/>
      <c r="AU258" s="4"/>
      <c r="AV258" s="4"/>
      <c r="AW258" s="4"/>
    </row>
    <row r="259" spans="1:49" x14ac:dyDescent="0.3">
      <c r="A259" s="4" t="s">
        <v>915</v>
      </c>
      <c r="B259" s="4" t="s">
        <v>529</v>
      </c>
      <c r="C259" s="4" t="s">
        <v>1191</v>
      </c>
      <c r="D259" s="4" t="s">
        <v>1191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S259" s="4"/>
      <c r="AT259" s="4"/>
      <c r="AU259" s="4"/>
      <c r="AV259" s="4"/>
      <c r="AW259" s="4"/>
    </row>
    <row r="260" spans="1:49" x14ac:dyDescent="0.3">
      <c r="A260" s="4" t="s">
        <v>928</v>
      </c>
      <c r="B260" s="4" t="s">
        <v>529</v>
      </c>
      <c r="C260" s="4" t="s">
        <v>1191</v>
      </c>
      <c r="D260" s="4" t="s">
        <v>1191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S260" s="4"/>
      <c r="AT260" s="4"/>
      <c r="AU260" s="4"/>
      <c r="AV260" s="4"/>
      <c r="AW260" s="4"/>
    </row>
    <row r="261" spans="1:49" x14ac:dyDescent="0.3">
      <c r="A261" s="4" t="s">
        <v>941</v>
      </c>
      <c r="B261" s="4" t="s">
        <v>529</v>
      </c>
      <c r="C261" s="4" t="s">
        <v>1191</v>
      </c>
      <c r="D261" s="4" t="s">
        <v>1191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S261" s="4"/>
      <c r="AT261" s="4"/>
      <c r="AU261" s="4"/>
      <c r="AV261" s="4"/>
      <c r="AW261" s="4"/>
    </row>
    <row r="262" spans="1:49" x14ac:dyDescent="0.3">
      <c r="A262" s="4" t="s">
        <v>953</v>
      </c>
      <c r="B262" s="4" t="s">
        <v>529</v>
      </c>
      <c r="C262" s="4" t="s">
        <v>1191</v>
      </c>
      <c r="D262" s="4" t="s">
        <v>1191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S262" s="4"/>
      <c r="AT262" s="4"/>
      <c r="AU262" s="4"/>
      <c r="AV262" s="4"/>
      <c r="AW262" s="4"/>
    </row>
    <row r="263" spans="1:49" x14ac:dyDescent="0.3">
      <c r="A263" s="4" t="s">
        <v>962</v>
      </c>
      <c r="B263" s="4" t="s">
        <v>1192</v>
      </c>
      <c r="C263" s="4" t="s">
        <v>1191</v>
      </c>
      <c r="D263" s="4" t="s">
        <v>1191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S263" s="4"/>
      <c r="AT263" s="4"/>
      <c r="AU263" s="4"/>
      <c r="AV263" s="4"/>
      <c r="AW263" s="4"/>
    </row>
    <row r="264" spans="1:49" x14ac:dyDescent="0.3">
      <c r="A264" s="4" t="s">
        <v>972</v>
      </c>
      <c r="B264" s="4" t="s">
        <v>2029</v>
      </c>
      <c r="C264" s="4" t="s">
        <v>1191</v>
      </c>
      <c r="D264" s="4" t="s">
        <v>1191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S264" s="4"/>
      <c r="AT264" s="4"/>
      <c r="AU264" s="4"/>
      <c r="AV264" s="4"/>
      <c r="AW264" s="4"/>
    </row>
    <row r="265" spans="1:49" x14ac:dyDescent="0.3">
      <c r="A265" s="4" t="s">
        <v>983</v>
      </c>
      <c r="B265" s="4" t="s">
        <v>529</v>
      </c>
      <c r="C265" s="4" t="s">
        <v>1191</v>
      </c>
      <c r="D265" s="4" t="s">
        <v>1191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S265" s="4"/>
      <c r="AT265" s="4"/>
      <c r="AU265" s="4"/>
      <c r="AV265" s="4"/>
      <c r="AW265" s="4"/>
    </row>
    <row r="266" spans="1:49" x14ac:dyDescent="0.3">
      <c r="A266" s="4" t="s">
        <v>991</v>
      </c>
      <c r="B266" s="4" t="s">
        <v>529</v>
      </c>
      <c r="C266" s="4" t="s">
        <v>1191</v>
      </c>
      <c r="D266" s="4" t="s">
        <v>1191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S266" s="4"/>
      <c r="AT266" s="4"/>
      <c r="AU266" s="4"/>
      <c r="AV266" s="4"/>
      <c r="AW266" s="4"/>
    </row>
    <row r="267" spans="1:49" x14ac:dyDescent="0.3">
      <c r="A267" s="4" t="s">
        <v>1001</v>
      </c>
      <c r="B267" s="4" t="s">
        <v>529</v>
      </c>
      <c r="C267" s="4" t="s">
        <v>1191</v>
      </c>
      <c r="D267" s="4" t="s">
        <v>1191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S267" s="4"/>
      <c r="AT267" s="4"/>
      <c r="AU267" s="4"/>
      <c r="AV267" s="4"/>
      <c r="AW267" s="4"/>
    </row>
    <row r="268" spans="1:49" x14ac:dyDescent="0.3">
      <c r="A268" s="4" t="s">
        <v>1018</v>
      </c>
      <c r="B268" s="4" t="s">
        <v>2030</v>
      </c>
      <c r="C268" s="4" t="s">
        <v>1191</v>
      </c>
      <c r="D268" s="4" t="s">
        <v>1191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S268" s="4"/>
      <c r="AT268" s="4"/>
      <c r="AU268" s="4"/>
      <c r="AV268" s="4"/>
      <c r="AW268" s="4"/>
    </row>
    <row r="269" spans="1:49" x14ac:dyDescent="0.3">
      <c r="A269" s="4" t="s">
        <v>1035</v>
      </c>
      <c r="B269" s="4" t="s">
        <v>2031</v>
      </c>
      <c r="C269" s="4" t="s">
        <v>727</v>
      </c>
      <c r="D269" s="4" t="s">
        <v>727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S269" s="4"/>
      <c r="AT269" s="4"/>
      <c r="AU269" s="4"/>
      <c r="AV269" s="4"/>
      <c r="AW269" s="4"/>
    </row>
    <row r="270" spans="1:49" x14ac:dyDescent="0.3">
      <c r="A270" s="4" t="s">
        <v>1046</v>
      </c>
      <c r="B270" s="4" t="s">
        <v>2032</v>
      </c>
      <c r="C270" s="4" t="s">
        <v>1191</v>
      </c>
      <c r="D270" s="4" t="s">
        <v>1191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S270" s="4"/>
      <c r="AT270" s="4"/>
      <c r="AU270" s="4"/>
      <c r="AV270" s="4"/>
      <c r="AW270" s="4"/>
    </row>
    <row r="271" spans="1:49" x14ac:dyDescent="0.3">
      <c r="A271" s="4" t="s">
        <v>1059</v>
      </c>
      <c r="B271" s="4" t="s">
        <v>575</v>
      </c>
      <c r="C271" s="4" t="s">
        <v>727</v>
      </c>
      <c r="D271" s="4" t="s">
        <v>727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S271" s="4"/>
      <c r="AT271" s="4"/>
      <c r="AU271" s="4"/>
      <c r="AV271" s="4"/>
      <c r="AW271" s="4"/>
    </row>
    <row r="272" spans="1:49" x14ac:dyDescent="0.3">
      <c r="A272" s="4" t="s">
        <v>1069</v>
      </c>
      <c r="B272" s="4" t="s">
        <v>2033</v>
      </c>
      <c r="C272" s="4" t="s">
        <v>727</v>
      </c>
      <c r="D272" s="4" t="s">
        <v>727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S272" s="4"/>
      <c r="AT272" s="4"/>
      <c r="AU272" s="4"/>
      <c r="AV272" s="4"/>
      <c r="AW272" s="4"/>
    </row>
    <row r="273" spans="1:49" x14ac:dyDescent="0.3">
      <c r="A273" s="4" t="s">
        <v>1079</v>
      </c>
      <c r="B273" s="4" t="s">
        <v>575</v>
      </c>
      <c r="C273" s="4" t="s">
        <v>727</v>
      </c>
      <c r="D273" s="4" t="s">
        <v>727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S273" s="4"/>
      <c r="AT273" s="4"/>
      <c r="AU273" s="4"/>
      <c r="AV273" s="4"/>
      <c r="AW273" s="4"/>
    </row>
    <row r="274" spans="1:49" x14ac:dyDescent="0.3">
      <c r="A274" s="4" t="s">
        <v>1089</v>
      </c>
      <c r="B274" s="4" t="s">
        <v>1467</v>
      </c>
      <c r="C274" s="4" t="s">
        <v>1191</v>
      </c>
      <c r="D274" s="4" t="s">
        <v>1191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S274" s="4"/>
      <c r="AT274" s="4"/>
      <c r="AU274" s="4"/>
      <c r="AV274" s="4"/>
      <c r="AW274" s="4"/>
    </row>
    <row r="275" spans="1:49" x14ac:dyDescent="0.3">
      <c r="A275" s="4" t="s">
        <v>1101</v>
      </c>
      <c r="B275" s="4" t="s">
        <v>2034</v>
      </c>
      <c r="C275" s="4" t="s">
        <v>727</v>
      </c>
      <c r="D275" s="4" t="s">
        <v>727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S275" s="4"/>
      <c r="AT275" s="4"/>
      <c r="AU275" s="4"/>
      <c r="AV275" s="4"/>
      <c r="AW275" s="4"/>
    </row>
    <row r="276" spans="1:49" x14ac:dyDescent="0.3">
      <c r="A276" s="4" t="s">
        <v>1110</v>
      </c>
      <c r="B276" s="4" t="s">
        <v>2035</v>
      </c>
      <c r="C276" s="4" t="s">
        <v>1191</v>
      </c>
      <c r="D276" s="4" t="s">
        <v>1191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S276" s="4"/>
      <c r="AT276" s="4"/>
      <c r="AU276" s="4"/>
      <c r="AV276" s="4"/>
      <c r="AW276" s="4"/>
    </row>
    <row r="277" spans="1:49" x14ac:dyDescent="0.3">
      <c r="A277" s="4" t="s">
        <v>1123</v>
      </c>
      <c r="B277" s="4" t="s">
        <v>2036</v>
      </c>
      <c r="C277" s="4" t="s">
        <v>727</v>
      </c>
      <c r="D277" s="4" t="s">
        <v>727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S277" s="4"/>
      <c r="AT277" s="4"/>
      <c r="AU277" s="4"/>
      <c r="AV277" s="4"/>
      <c r="AW277" s="4"/>
    </row>
    <row r="278" spans="1:49" x14ac:dyDescent="0.3">
      <c r="A278" s="4" t="s">
        <v>1134</v>
      </c>
      <c r="B278" s="4" t="s">
        <v>2031</v>
      </c>
      <c r="C278" s="4" t="s">
        <v>727</v>
      </c>
      <c r="D278" s="4" t="s">
        <v>727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S278" s="4"/>
      <c r="AT278" s="4"/>
      <c r="AU278" s="4"/>
      <c r="AV278" s="4"/>
      <c r="AW278" s="4"/>
    </row>
    <row r="279" spans="1:49" x14ac:dyDescent="0.3">
      <c r="A279" s="4" t="s">
        <v>1144</v>
      </c>
      <c r="B279" s="4" t="s">
        <v>2037</v>
      </c>
      <c r="C279" s="4" t="s">
        <v>727</v>
      </c>
      <c r="D279" s="4" t="s">
        <v>727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S279" s="4"/>
      <c r="AT279" s="4"/>
      <c r="AU279" s="4"/>
      <c r="AV279" s="4"/>
      <c r="AW279" s="4"/>
    </row>
    <row r="280" spans="1:49" x14ac:dyDescent="0.3">
      <c r="A280" s="4" t="s">
        <v>1159</v>
      </c>
      <c r="B280" s="4" t="s">
        <v>2038</v>
      </c>
      <c r="C280" s="4" t="s">
        <v>727</v>
      </c>
      <c r="D280" s="4" t="s">
        <v>727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S280" s="4"/>
      <c r="AT280" s="4"/>
      <c r="AU280" s="4"/>
      <c r="AV280" s="4"/>
      <c r="AW280" s="4"/>
    </row>
    <row r="281" spans="1:49" x14ac:dyDescent="0.3">
      <c r="A281" s="4" t="s">
        <v>1172</v>
      </c>
      <c r="B281" s="4" t="s">
        <v>2039</v>
      </c>
      <c r="C281" s="4" t="s">
        <v>727</v>
      </c>
      <c r="D281" s="4" t="s">
        <v>727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S281" s="4"/>
      <c r="AT281" s="4"/>
      <c r="AU281" s="4"/>
      <c r="AV281" s="4"/>
      <c r="AW281" s="4"/>
    </row>
    <row r="282" spans="1:49" x14ac:dyDescent="0.3">
      <c r="A282" s="4" t="s">
        <v>1203</v>
      </c>
      <c r="B282" s="4" t="s">
        <v>2040</v>
      </c>
      <c r="C282" s="4" t="s">
        <v>1191</v>
      </c>
      <c r="D282" s="4" t="s">
        <v>1191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S282" s="4"/>
      <c r="AT282" s="4"/>
      <c r="AU282" s="4"/>
      <c r="AV282" s="4"/>
      <c r="AW282" s="4"/>
    </row>
    <row r="283" spans="1:49" s="4" customFormat="1" x14ac:dyDescent="0.3">
      <c r="A283" s="4" t="s">
        <v>2299</v>
      </c>
      <c r="B283" s="4" t="s">
        <v>2417</v>
      </c>
      <c r="C283" s="4" t="s">
        <v>727</v>
      </c>
      <c r="D283" s="4" t="s">
        <v>727</v>
      </c>
    </row>
    <row r="284" spans="1:49" s="4" customFormat="1" x14ac:dyDescent="0.3">
      <c r="A284" s="4" t="s">
        <v>2301</v>
      </c>
      <c r="B284" s="4" t="s">
        <v>2418</v>
      </c>
      <c r="C284" s="4" t="s">
        <v>727</v>
      </c>
      <c r="D284" s="4" t="s">
        <v>727</v>
      </c>
    </row>
    <row r="285" spans="1:49" s="4" customFormat="1" x14ac:dyDescent="0.3">
      <c r="A285" s="4" t="s">
        <v>2303</v>
      </c>
      <c r="B285" s="4" t="s">
        <v>2419</v>
      </c>
      <c r="C285" s="4" t="s">
        <v>1191</v>
      </c>
      <c r="D285" s="4" t="s">
        <v>1191</v>
      </c>
    </row>
    <row r="286" spans="1:49" s="4" customFormat="1" x14ac:dyDescent="0.3">
      <c r="A286" s="4" t="s">
        <v>2305</v>
      </c>
      <c r="B286" s="4" t="s">
        <v>2040</v>
      </c>
      <c r="C286" s="4" t="s">
        <v>727</v>
      </c>
      <c r="D286" s="4" t="s">
        <v>727</v>
      </c>
    </row>
    <row r="287" spans="1:49" s="4" customFormat="1" x14ac:dyDescent="0.3">
      <c r="A287" s="4" t="s">
        <v>2307</v>
      </c>
      <c r="B287" s="4" t="s">
        <v>2420</v>
      </c>
      <c r="C287" s="4" t="s">
        <v>727</v>
      </c>
      <c r="D287" s="4" t="s">
        <v>727</v>
      </c>
    </row>
    <row r="288" spans="1:49" s="4" customFormat="1" x14ac:dyDescent="0.3">
      <c r="A288" s="4" t="s">
        <v>2262</v>
      </c>
      <c r="B288" s="4" t="s">
        <v>2421</v>
      </c>
      <c r="C288" s="4" t="s">
        <v>1191</v>
      </c>
      <c r="D288" s="4" t="s">
        <v>1191</v>
      </c>
    </row>
    <row r="289" spans="1:4" s="4" customFormat="1" x14ac:dyDescent="0.3">
      <c r="A289" s="4" t="s">
        <v>2271</v>
      </c>
      <c r="B289" s="4" t="s">
        <v>2422</v>
      </c>
      <c r="C289" s="4" t="s">
        <v>1191</v>
      </c>
      <c r="D289" s="4" t="s">
        <v>1191</v>
      </c>
    </row>
    <row r="290" spans="1:4" s="4" customFormat="1" x14ac:dyDescent="0.3">
      <c r="A290" s="4" t="s">
        <v>2284</v>
      </c>
      <c r="B290" s="4" t="s">
        <v>2418</v>
      </c>
      <c r="C290" s="4" t="s">
        <v>727</v>
      </c>
      <c r="D290" s="4" t="s">
        <v>727</v>
      </c>
    </row>
    <row r="291" spans="1:4" s="4" customFormat="1" x14ac:dyDescent="0.3">
      <c r="A291" s="4" t="s">
        <v>2383</v>
      </c>
      <c r="B291" s="4" t="s">
        <v>2418</v>
      </c>
      <c r="C291" s="4" t="s">
        <v>1191</v>
      </c>
      <c r="D291" s="4" t="s">
        <v>1191</v>
      </c>
    </row>
    <row r="292" spans="1:4" s="4" customFormat="1" x14ac:dyDescent="0.3"/>
    <row r="293" spans="1:4" s="4" customFormat="1" x14ac:dyDescent="0.3"/>
    <row r="294" spans="1:4" s="4" customFormat="1" x14ac:dyDescent="0.3"/>
    <row r="295" spans="1:4" s="4" customFormat="1" x14ac:dyDescent="0.3"/>
    <row r="296" spans="1:4" s="4" customFormat="1" x14ac:dyDescent="0.3"/>
    <row r="297" spans="1:4" s="4" customFormat="1" x14ac:dyDescent="0.3"/>
    <row r="298" spans="1:4" s="4" customFormat="1" x14ac:dyDescent="0.3"/>
    <row r="299" spans="1:4" s="4" customFormat="1" x14ac:dyDescent="0.3"/>
    <row r="300" spans="1:4" s="4" customFormat="1" x14ac:dyDescent="0.3"/>
    <row r="301" spans="1:4" s="4" customFormat="1" x14ac:dyDescent="0.3"/>
    <row r="302" spans="1:4" s="4" customFormat="1" x14ac:dyDescent="0.3"/>
    <row r="303" spans="1:4" s="4" customFormat="1" x14ac:dyDescent="0.3"/>
    <row r="304" spans="1:4" s="4" customFormat="1" x14ac:dyDescent="0.3"/>
    <row r="305" spans="1:49" s="4" customFormat="1" x14ac:dyDescent="0.3"/>
    <row r="306" spans="1:49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S306" s="4"/>
      <c r="AT306" s="4"/>
      <c r="AU306" s="4"/>
      <c r="AV306" s="4"/>
      <c r="AW306" s="4"/>
    </row>
    <row r="307" spans="1:49" x14ac:dyDescent="0.3">
      <c r="A307" s="23" t="s">
        <v>2041</v>
      </c>
      <c r="B307" s="24"/>
      <c r="C307" s="24"/>
      <c r="D307" s="24"/>
      <c r="E307" s="2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S307" s="4"/>
      <c r="AT307" s="4"/>
      <c r="AU307" s="4"/>
      <c r="AV307" s="4"/>
      <c r="AW307" s="4"/>
    </row>
    <row r="308" spans="1:49" x14ac:dyDescent="0.3">
      <c r="A308" s="4"/>
      <c r="B308" s="4" t="s">
        <v>1206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S308" s="4"/>
      <c r="AT308" s="4"/>
      <c r="AU308" s="4"/>
      <c r="AV308" s="4"/>
      <c r="AW308" s="4"/>
    </row>
    <row r="309" spans="1:49" x14ac:dyDescent="0.3">
      <c r="A309" s="4"/>
      <c r="B309" s="4" t="s">
        <v>19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S309" s="4"/>
      <c r="AT309" s="4"/>
      <c r="AU309" s="4"/>
      <c r="AV309" s="4"/>
      <c r="AW309" s="4"/>
    </row>
    <row r="310" spans="1:49" x14ac:dyDescent="0.3">
      <c r="A310" s="4" t="s">
        <v>39</v>
      </c>
      <c r="B310" s="4" t="s">
        <v>45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S310" s="4"/>
      <c r="AT310" s="4"/>
      <c r="AU310" s="4"/>
      <c r="AV310" s="4"/>
      <c r="AW310" s="4"/>
    </row>
    <row r="311" spans="1:49" x14ac:dyDescent="0.3">
      <c r="A311" s="4" t="s">
        <v>402</v>
      </c>
      <c r="B311" s="4" t="s">
        <v>1234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S311" s="4"/>
      <c r="AT311" s="4"/>
      <c r="AU311" s="4"/>
      <c r="AV311" s="4"/>
      <c r="AW311" s="4"/>
    </row>
    <row r="312" spans="1:49" x14ac:dyDescent="0.3">
      <c r="A312" s="4" t="s">
        <v>411</v>
      </c>
      <c r="B312" s="4" t="s">
        <v>1234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S312" s="4"/>
      <c r="AT312" s="4"/>
      <c r="AU312" s="4"/>
      <c r="AV312" s="4"/>
      <c r="AW312" s="4"/>
    </row>
    <row r="313" spans="1:49" x14ac:dyDescent="0.3">
      <c r="A313" s="4" t="s">
        <v>420</v>
      </c>
      <c r="B313" s="4" t="s">
        <v>1234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S313" s="4"/>
      <c r="AT313" s="4"/>
      <c r="AU313" s="4"/>
      <c r="AV313" s="4"/>
      <c r="AW313" s="4"/>
    </row>
    <row r="314" spans="1:49" x14ac:dyDescent="0.3">
      <c r="A314" s="4" t="s">
        <v>427</v>
      </c>
      <c r="B314" s="4" t="s">
        <v>2042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S314" s="4"/>
      <c r="AT314" s="4"/>
      <c r="AU314" s="4"/>
      <c r="AV314" s="4"/>
      <c r="AW314" s="4"/>
    </row>
    <row r="315" spans="1:49" x14ac:dyDescent="0.3">
      <c r="A315" s="4" t="s">
        <v>436</v>
      </c>
      <c r="B315" s="4" t="s">
        <v>1234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S315" s="4"/>
      <c r="AT315" s="4"/>
      <c r="AU315" s="4"/>
      <c r="AV315" s="4"/>
      <c r="AW315" s="4"/>
    </row>
    <row r="316" spans="1:49" x14ac:dyDescent="0.3">
      <c r="A316" s="4" t="s">
        <v>442</v>
      </c>
      <c r="B316" s="4" t="s">
        <v>1234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S316" s="4"/>
      <c r="AT316" s="4"/>
      <c r="AU316" s="4"/>
      <c r="AV316" s="4"/>
      <c r="AW316" s="4"/>
    </row>
    <row r="317" spans="1:49" x14ac:dyDescent="0.3">
      <c r="A317" s="4" t="s">
        <v>448</v>
      </c>
      <c r="B317" s="4" t="s">
        <v>1234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S317" s="4"/>
      <c r="AT317" s="4"/>
      <c r="AU317" s="4"/>
      <c r="AV317" s="4"/>
      <c r="AW317" s="4"/>
    </row>
    <row r="318" spans="1:49" x14ac:dyDescent="0.3">
      <c r="A318" s="4" t="s">
        <v>455</v>
      </c>
      <c r="B318" s="4" t="s">
        <v>1234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S318" s="4"/>
      <c r="AT318" s="4"/>
      <c r="AU318" s="4"/>
      <c r="AV318" s="4"/>
      <c r="AW318" s="4"/>
    </row>
    <row r="319" spans="1:49" x14ac:dyDescent="0.3">
      <c r="A319" s="4" t="s">
        <v>464</v>
      </c>
      <c r="B319" s="4" t="s">
        <v>138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S319" s="4"/>
      <c r="AT319" s="4"/>
      <c r="AU319" s="4"/>
      <c r="AV319" s="4"/>
      <c r="AW319" s="4"/>
    </row>
    <row r="320" spans="1:49" x14ac:dyDescent="0.3">
      <c r="A320" s="4" t="s">
        <v>469</v>
      </c>
      <c r="B320" s="4" t="s">
        <v>1234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S320" s="4"/>
      <c r="AT320" s="4"/>
      <c r="AU320" s="4"/>
      <c r="AV320" s="4"/>
      <c r="AW320" s="4"/>
    </row>
    <row r="321" spans="1:49" x14ac:dyDescent="0.3">
      <c r="A321" s="4" t="s">
        <v>474</v>
      </c>
      <c r="B321" s="4" t="s">
        <v>1234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S321" s="4"/>
      <c r="AT321" s="4"/>
      <c r="AU321" s="4"/>
      <c r="AV321" s="4"/>
      <c r="AW321" s="4"/>
    </row>
    <row r="322" spans="1:49" x14ac:dyDescent="0.3">
      <c r="A322" s="4" t="s">
        <v>480</v>
      </c>
      <c r="B322" s="4" t="s">
        <v>1234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S322" s="4"/>
      <c r="AT322" s="4"/>
      <c r="AU322" s="4"/>
      <c r="AV322" s="4"/>
      <c r="AW322" s="4"/>
    </row>
    <row r="323" spans="1:49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S323" s="4"/>
      <c r="AT323" s="4"/>
      <c r="AU323" s="4"/>
      <c r="AV323" s="4"/>
      <c r="AW323" s="4"/>
    </row>
    <row r="324" spans="1:49" x14ac:dyDescent="0.3">
      <c r="A324" s="23" t="s">
        <v>2043</v>
      </c>
      <c r="B324" s="24"/>
      <c r="C324" s="24"/>
      <c r="D324" s="24"/>
      <c r="E324" s="2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S324" s="4"/>
      <c r="AT324" s="4"/>
      <c r="AU324" s="4"/>
      <c r="AV324" s="4"/>
      <c r="AW324" s="4"/>
    </row>
    <row r="325" spans="1:49" x14ac:dyDescent="0.3">
      <c r="A325" s="4"/>
      <c r="B325" s="4" t="s">
        <v>1218</v>
      </c>
      <c r="C325" s="4" t="s">
        <v>1218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S325" s="4"/>
      <c r="AT325" s="4"/>
      <c r="AU325" s="4"/>
      <c r="AV325" s="4"/>
      <c r="AW325" s="4"/>
    </row>
    <row r="326" spans="1:49" x14ac:dyDescent="0.3">
      <c r="A326" s="4"/>
      <c r="B326" s="4" t="s">
        <v>1219</v>
      </c>
      <c r="C326" s="4" t="s">
        <v>1220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S326" s="4"/>
      <c r="AT326" s="4"/>
      <c r="AU326" s="4"/>
      <c r="AV326" s="4"/>
      <c r="AW326" s="4"/>
    </row>
    <row r="327" spans="1:49" x14ac:dyDescent="0.3">
      <c r="A327" s="4" t="s">
        <v>39</v>
      </c>
      <c r="B327" s="4" t="s">
        <v>1221</v>
      </c>
      <c r="C327" s="4" t="s">
        <v>1221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S327" s="4"/>
      <c r="AT327" s="4"/>
      <c r="AU327" s="4"/>
      <c r="AV327" s="4"/>
      <c r="AW327" s="4"/>
    </row>
    <row r="328" spans="1:49" x14ac:dyDescent="0.3">
      <c r="A328" s="4" t="s">
        <v>48</v>
      </c>
      <c r="B328" s="4"/>
      <c r="C328" s="4" t="s">
        <v>1228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S328" s="4"/>
      <c r="AT328" s="4"/>
      <c r="AU328" s="4"/>
      <c r="AV328" s="4"/>
      <c r="AW328" s="4"/>
    </row>
    <row r="329" spans="1:49" x14ac:dyDescent="0.3">
      <c r="A329" s="4" t="s">
        <v>61</v>
      </c>
      <c r="B329" s="4"/>
      <c r="C329" s="4" t="s">
        <v>1222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S329" s="4"/>
      <c r="AT329" s="4"/>
      <c r="AU329" s="4"/>
      <c r="AV329" s="4"/>
      <c r="AW329" s="4"/>
    </row>
    <row r="330" spans="1:49" x14ac:dyDescent="0.3">
      <c r="A330" s="4" t="s">
        <v>72</v>
      </c>
      <c r="B330" s="4"/>
      <c r="C330" s="4" t="s">
        <v>1222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S330" s="4"/>
      <c r="AT330" s="4"/>
      <c r="AU330" s="4"/>
      <c r="AV330" s="4"/>
      <c r="AW330" s="4"/>
    </row>
    <row r="331" spans="1:49" x14ac:dyDescent="0.3">
      <c r="A331" s="4" t="s">
        <v>83</v>
      </c>
      <c r="B331" s="4"/>
      <c r="C331" s="4" t="s">
        <v>1222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S331" s="4"/>
      <c r="AT331" s="4"/>
      <c r="AU331" s="4"/>
      <c r="AV331" s="4"/>
      <c r="AW331" s="4"/>
    </row>
    <row r="332" spans="1:49" x14ac:dyDescent="0.3">
      <c r="A332" s="4" t="s">
        <v>95</v>
      </c>
      <c r="B332" s="4"/>
      <c r="C332" s="4" t="s">
        <v>1234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S332" s="4"/>
      <c r="AT332" s="4"/>
      <c r="AU332" s="4"/>
      <c r="AV332" s="4"/>
      <c r="AW332" s="4"/>
    </row>
    <row r="333" spans="1:49" x14ac:dyDescent="0.3">
      <c r="A333" s="4" t="s">
        <v>109</v>
      </c>
      <c r="B333" s="4"/>
      <c r="C333" s="4" t="s">
        <v>1222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S333" s="4"/>
      <c r="AT333" s="4"/>
      <c r="AU333" s="4"/>
      <c r="AV333" s="4"/>
      <c r="AW333" s="4"/>
    </row>
    <row r="334" spans="1:49" x14ac:dyDescent="0.3">
      <c r="A334" s="4" t="s">
        <v>122</v>
      </c>
      <c r="B334" s="4"/>
      <c r="C334" s="4" t="s">
        <v>539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S334" s="4"/>
      <c r="AT334" s="4"/>
      <c r="AU334" s="4"/>
      <c r="AV334" s="4"/>
      <c r="AW334" s="4"/>
    </row>
    <row r="335" spans="1:49" x14ac:dyDescent="0.3">
      <c r="A335" s="4" t="s">
        <v>135</v>
      </c>
      <c r="B335" s="4"/>
      <c r="C335" s="4" t="s">
        <v>1222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S335" s="4"/>
      <c r="AT335" s="4"/>
      <c r="AU335" s="4"/>
      <c r="AV335" s="4"/>
      <c r="AW335" s="4"/>
    </row>
    <row r="336" spans="1:49" x14ac:dyDescent="0.3">
      <c r="A336" s="4" t="s">
        <v>148</v>
      </c>
      <c r="B336" s="4"/>
      <c r="C336" s="4" t="s">
        <v>1228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S336" s="4"/>
      <c r="AT336" s="4"/>
      <c r="AU336" s="4"/>
      <c r="AV336" s="4"/>
      <c r="AW336" s="4"/>
    </row>
    <row r="337" spans="1:49" x14ac:dyDescent="0.3">
      <c r="A337" s="4" t="s">
        <v>159</v>
      </c>
      <c r="B337" s="4"/>
      <c r="C337" s="4" t="s">
        <v>539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S337" s="4"/>
      <c r="AT337" s="4"/>
      <c r="AU337" s="4"/>
      <c r="AV337" s="4"/>
      <c r="AW337" s="4"/>
    </row>
    <row r="338" spans="1:49" x14ac:dyDescent="0.3">
      <c r="A338" s="4" t="s">
        <v>166</v>
      </c>
      <c r="B338" s="4"/>
      <c r="C338" s="4" t="s">
        <v>1086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S338" s="4"/>
      <c r="AT338" s="4"/>
      <c r="AU338" s="4"/>
      <c r="AV338" s="4"/>
      <c r="AW338" s="4"/>
    </row>
    <row r="339" spans="1:49" x14ac:dyDescent="0.3">
      <c r="A339" s="4" t="s">
        <v>176</v>
      </c>
      <c r="B339" s="4"/>
      <c r="C339" s="4" t="s">
        <v>1222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S339" s="4"/>
      <c r="AT339" s="4"/>
      <c r="AU339" s="4"/>
      <c r="AV339" s="4"/>
      <c r="AW339" s="4"/>
    </row>
    <row r="340" spans="1:49" x14ac:dyDescent="0.3">
      <c r="A340" s="4" t="s">
        <v>185</v>
      </c>
      <c r="B340" s="4"/>
      <c r="C340" s="4" t="s">
        <v>539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S340" s="4"/>
      <c r="AT340" s="4"/>
      <c r="AU340" s="4"/>
      <c r="AV340" s="4"/>
      <c r="AW340" s="4"/>
    </row>
    <row r="341" spans="1:49" x14ac:dyDescent="0.3">
      <c r="A341" s="4" t="s">
        <v>192</v>
      </c>
      <c r="B341" s="4"/>
      <c r="C341" s="4" t="s">
        <v>1225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S341" s="4"/>
      <c r="AT341" s="4"/>
      <c r="AU341" s="4"/>
      <c r="AV341" s="4"/>
      <c r="AW341" s="4"/>
    </row>
    <row r="342" spans="1:49" x14ac:dyDescent="0.3">
      <c r="A342" s="4" t="s">
        <v>200</v>
      </c>
      <c r="B342" s="4"/>
      <c r="C342" s="4" t="s">
        <v>1086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S342" s="4"/>
      <c r="AT342" s="4"/>
      <c r="AU342" s="4"/>
      <c r="AV342" s="4"/>
      <c r="AW342" s="4"/>
    </row>
    <row r="343" spans="1:49" x14ac:dyDescent="0.3">
      <c r="A343" s="4" t="s">
        <v>209</v>
      </c>
      <c r="B343" s="4"/>
      <c r="C343" s="4" t="s">
        <v>1225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S343" s="4"/>
      <c r="AT343" s="4"/>
      <c r="AU343" s="4"/>
      <c r="AV343" s="4"/>
      <c r="AW343" s="4"/>
    </row>
    <row r="344" spans="1:49" x14ac:dyDescent="0.3">
      <c r="A344" s="4" t="s">
        <v>217</v>
      </c>
      <c r="B344" s="4"/>
      <c r="C344" s="4" t="s">
        <v>1225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S344" s="4"/>
      <c r="AT344" s="4"/>
      <c r="AU344" s="4"/>
      <c r="AV344" s="4"/>
      <c r="AW344" s="4"/>
    </row>
    <row r="345" spans="1:49" x14ac:dyDescent="0.3">
      <c r="A345" s="4" t="s">
        <v>227</v>
      </c>
      <c r="B345" s="4"/>
      <c r="C345" s="4" t="s">
        <v>1225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S345" s="4"/>
      <c r="AT345" s="4"/>
      <c r="AU345" s="4"/>
      <c r="AV345" s="4"/>
      <c r="AW345" s="4"/>
    </row>
    <row r="346" spans="1:49" x14ac:dyDescent="0.3">
      <c r="A346" s="4" t="s">
        <v>238</v>
      </c>
      <c r="B346" s="4"/>
      <c r="C346" s="4" t="s">
        <v>1225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S346" s="4"/>
      <c r="AT346" s="4"/>
      <c r="AU346" s="4"/>
      <c r="AV346" s="4"/>
      <c r="AW346" s="4"/>
    </row>
    <row r="347" spans="1:49" x14ac:dyDescent="0.3">
      <c r="A347" s="4" t="s">
        <v>250</v>
      </c>
      <c r="B347" s="4"/>
      <c r="C347" s="4" t="s">
        <v>1225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S347" s="4"/>
      <c r="AT347" s="4"/>
      <c r="AU347" s="4"/>
      <c r="AV347" s="4"/>
      <c r="AW347" s="4"/>
    </row>
    <row r="348" spans="1:49" x14ac:dyDescent="0.3">
      <c r="A348" s="4" t="s">
        <v>262</v>
      </c>
      <c r="B348" s="4"/>
      <c r="C348" s="4" t="s">
        <v>1228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S348" s="4"/>
      <c r="AT348" s="4"/>
      <c r="AU348" s="4"/>
      <c r="AV348" s="4"/>
      <c r="AW348" s="4"/>
    </row>
    <row r="349" spans="1:49" x14ac:dyDescent="0.3">
      <c r="A349" s="4" t="s">
        <v>275</v>
      </c>
      <c r="B349" s="4"/>
      <c r="C349" s="4" t="s">
        <v>1225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S349" s="4"/>
      <c r="AT349" s="4"/>
      <c r="AU349" s="4"/>
      <c r="AV349" s="4"/>
      <c r="AW349" s="4"/>
    </row>
    <row r="350" spans="1:49" x14ac:dyDescent="0.3">
      <c r="A350" s="4" t="s">
        <v>283</v>
      </c>
      <c r="B350" s="4"/>
      <c r="C350" s="4" t="s">
        <v>1222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S350" s="4"/>
      <c r="AT350" s="4"/>
      <c r="AU350" s="4"/>
      <c r="AV350" s="4"/>
      <c r="AW350" s="4"/>
    </row>
    <row r="351" spans="1:49" x14ac:dyDescent="0.3">
      <c r="A351" s="4" t="s">
        <v>291</v>
      </c>
      <c r="B351" s="4"/>
      <c r="C351" s="4" t="s">
        <v>1225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S351" s="4"/>
      <c r="AT351" s="4"/>
      <c r="AU351" s="4"/>
      <c r="AV351" s="4"/>
      <c r="AW351" s="4"/>
    </row>
    <row r="352" spans="1:49" x14ac:dyDescent="0.3">
      <c r="A352" s="4" t="s">
        <v>296</v>
      </c>
      <c r="B352" s="4"/>
      <c r="C352" s="4" t="s">
        <v>1225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S352" s="4"/>
      <c r="AT352" s="4"/>
      <c r="AU352" s="4"/>
      <c r="AV352" s="4"/>
      <c r="AW352" s="4"/>
    </row>
    <row r="353" spans="1:49" x14ac:dyDescent="0.3">
      <c r="A353" s="4" t="s">
        <v>303</v>
      </c>
      <c r="B353" s="4"/>
      <c r="C353" s="4" t="s">
        <v>1234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S353" s="4"/>
      <c r="AT353" s="4"/>
      <c r="AU353" s="4"/>
      <c r="AV353" s="4"/>
      <c r="AW353" s="4"/>
    </row>
    <row r="354" spans="1:49" x14ac:dyDescent="0.3">
      <c r="A354" s="4" t="s">
        <v>310</v>
      </c>
      <c r="B354" s="4"/>
      <c r="C354" s="4" t="s">
        <v>1225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S354" s="4"/>
      <c r="AT354" s="4"/>
      <c r="AU354" s="4"/>
      <c r="AV354" s="4"/>
      <c r="AW354" s="4"/>
    </row>
    <row r="355" spans="1:49" x14ac:dyDescent="0.3">
      <c r="A355" s="4" t="s">
        <v>320</v>
      </c>
      <c r="B355" s="4"/>
      <c r="C355" s="4" t="s">
        <v>1225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S355" s="4"/>
      <c r="AT355" s="4"/>
      <c r="AU355" s="4"/>
      <c r="AV355" s="4"/>
      <c r="AW355" s="4"/>
    </row>
    <row r="356" spans="1:49" x14ac:dyDescent="0.3">
      <c r="A356" s="4" t="s">
        <v>330</v>
      </c>
      <c r="B356" s="4"/>
      <c r="C356" s="4" t="s">
        <v>1225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S356" s="4"/>
      <c r="AT356" s="4"/>
      <c r="AU356" s="4"/>
      <c r="AV356" s="4"/>
      <c r="AW356" s="4"/>
    </row>
    <row r="357" spans="1:49" x14ac:dyDescent="0.3">
      <c r="A357" s="4" t="s">
        <v>341</v>
      </c>
      <c r="B357" s="4"/>
      <c r="C357" s="4" t="s">
        <v>1225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S357" s="4"/>
      <c r="AT357" s="4"/>
      <c r="AU357" s="4"/>
      <c r="AV357" s="4"/>
      <c r="AW357" s="4"/>
    </row>
    <row r="358" spans="1:49" x14ac:dyDescent="0.3">
      <c r="A358" s="4" t="s">
        <v>349</v>
      </c>
      <c r="B358" s="4"/>
      <c r="C358" s="4" t="s">
        <v>1225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S358" s="4"/>
      <c r="AT358" s="4"/>
      <c r="AU358" s="4"/>
      <c r="AV358" s="4"/>
      <c r="AW358" s="4"/>
    </row>
    <row r="359" spans="1:49" x14ac:dyDescent="0.3">
      <c r="A359" s="4" t="s">
        <v>359</v>
      </c>
      <c r="B359" s="4"/>
      <c r="C359" s="4" t="s">
        <v>1225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S359" s="4"/>
      <c r="AT359" s="4"/>
      <c r="AU359" s="4"/>
      <c r="AV359" s="4"/>
      <c r="AW359" s="4"/>
    </row>
    <row r="360" spans="1:49" x14ac:dyDescent="0.3">
      <c r="A360" s="4" t="s">
        <v>366</v>
      </c>
      <c r="B360" s="4"/>
      <c r="C360" s="4" t="s">
        <v>1225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S360" s="4"/>
      <c r="AT360" s="4"/>
      <c r="AU360" s="4"/>
      <c r="AV360" s="4"/>
      <c r="AW360" s="4"/>
    </row>
    <row r="361" spans="1:49" x14ac:dyDescent="0.3">
      <c r="A361" s="4" t="s">
        <v>376</v>
      </c>
      <c r="B361" s="4"/>
      <c r="C361" s="4" t="s">
        <v>1225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S361" s="4"/>
      <c r="AT361" s="4"/>
      <c r="AU361" s="4"/>
      <c r="AV361" s="4"/>
      <c r="AW361" s="4"/>
    </row>
    <row r="362" spans="1:49" x14ac:dyDescent="0.3">
      <c r="A362" s="4" t="s">
        <v>385</v>
      </c>
      <c r="B362" s="4"/>
      <c r="C362" s="4" t="s">
        <v>1225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S362" s="4"/>
      <c r="AT362" s="4"/>
      <c r="AU362" s="4"/>
      <c r="AV362" s="4"/>
      <c r="AW362" s="4"/>
    </row>
    <row r="363" spans="1:49" x14ac:dyDescent="0.3">
      <c r="A363" s="4" t="s">
        <v>394</v>
      </c>
      <c r="B363" s="4"/>
      <c r="C363" s="4" t="s">
        <v>1225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S363" s="4"/>
      <c r="AT363" s="4"/>
      <c r="AU363" s="4"/>
      <c r="AV363" s="4"/>
      <c r="AW363" s="4"/>
    </row>
    <row r="364" spans="1:49" x14ac:dyDescent="0.3">
      <c r="A364" s="4" t="s">
        <v>402</v>
      </c>
      <c r="B364" s="4"/>
      <c r="C364" s="4" t="s">
        <v>1225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S364" s="4"/>
      <c r="AT364" s="4"/>
      <c r="AU364" s="4"/>
      <c r="AV364" s="4"/>
      <c r="AW364" s="4"/>
    </row>
    <row r="365" spans="1:49" x14ac:dyDescent="0.3">
      <c r="A365" s="4" t="s">
        <v>411</v>
      </c>
      <c r="B365" s="4"/>
      <c r="C365" s="4" t="s">
        <v>1234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S365" s="4"/>
      <c r="AT365" s="4"/>
      <c r="AU365" s="4"/>
      <c r="AV365" s="4"/>
      <c r="AW365" s="4"/>
    </row>
    <row r="366" spans="1:49" x14ac:dyDescent="0.3">
      <c r="A366" s="4" t="s">
        <v>420</v>
      </c>
      <c r="B366" s="4"/>
      <c r="C366" s="4" t="s">
        <v>548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S366" s="4"/>
      <c r="AT366" s="4"/>
      <c r="AU366" s="4"/>
      <c r="AV366" s="4"/>
      <c r="AW366" s="4"/>
    </row>
    <row r="367" spans="1:49" x14ac:dyDescent="0.3">
      <c r="A367" s="4" t="s">
        <v>427</v>
      </c>
      <c r="B367" s="4"/>
      <c r="C367" s="4" t="s">
        <v>638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S367" s="4"/>
      <c r="AT367" s="4"/>
      <c r="AU367" s="4"/>
      <c r="AV367" s="4"/>
      <c r="AW367" s="4"/>
    </row>
    <row r="368" spans="1:49" x14ac:dyDescent="0.3">
      <c r="A368" s="4" t="s">
        <v>436</v>
      </c>
      <c r="B368" s="4"/>
      <c r="C368" s="4" t="s">
        <v>539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S368" s="4"/>
      <c r="AT368" s="4"/>
      <c r="AU368" s="4"/>
      <c r="AV368" s="4"/>
      <c r="AW368" s="4"/>
    </row>
    <row r="369" spans="1:49" x14ac:dyDescent="0.3">
      <c r="A369" s="4" t="s">
        <v>442</v>
      </c>
      <c r="B369" s="4"/>
      <c r="C369" s="4" t="s">
        <v>2044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S369" s="4"/>
      <c r="AT369" s="4"/>
      <c r="AU369" s="4"/>
      <c r="AV369" s="4"/>
      <c r="AW369" s="4"/>
    </row>
    <row r="370" spans="1:49" x14ac:dyDescent="0.3">
      <c r="A370" s="4" t="s">
        <v>448</v>
      </c>
      <c r="B370" s="4"/>
      <c r="C370" s="4" t="s">
        <v>1226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S370" s="4"/>
      <c r="AT370" s="4"/>
      <c r="AU370" s="4"/>
      <c r="AV370" s="4"/>
      <c r="AW370" s="4"/>
    </row>
    <row r="371" spans="1:49" x14ac:dyDescent="0.3">
      <c r="A371" s="4" t="s">
        <v>455</v>
      </c>
      <c r="B371" s="4"/>
      <c r="C371" s="4" t="s">
        <v>1224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S371" s="4"/>
      <c r="AT371" s="4"/>
      <c r="AU371" s="4"/>
      <c r="AV371" s="4"/>
      <c r="AW371" s="4"/>
    </row>
    <row r="372" spans="1:49" x14ac:dyDescent="0.3">
      <c r="A372" s="4" t="s">
        <v>464</v>
      </c>
      <c r="B372" s="4"/>
      <c r="C372" s="4" t="s">
        <v>638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S372" s="4"/>
      <c r="AT372" s="4"/>
      <c r="AU372" s="4"/>
      <c r="AV372" s="4"/>
      <c r="AW372" s="4"/>
    </row>
    <row r="373" spans="1:49" x14ac:dyDescent="0.3">
      <c r="A373" s="4" t="s">
        <v>469</v>
      </c>
      <c r="B373" s="4"/>
      <c r="C373" s="4" t="s">
        <v>638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S373" s="4"/>
      <c r="AT373" s="4"/>
      <c r="AU373" s="4"/>
      <c r="AV373" s="4"/>
      <c r="AW373" s="4"/>
    </row>
    <row r="374" spans="1:49" x14ac:dyDescent="0.3">
      <c r="A374" s="4" t="s">
        <v>474</v>
      </c>
      <c r="B374" s="4"/>
      <c r="C374" s="4" t="s">
        <v>1226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S374" s="4"/>
      <c r="AT374" s="4"/>
      <c r="AU374" s="4"/>
      <c r="AV374" s="4"/>
      <c r="AW374" s="4"/>
    </row>
    <row r="375" spans="1:49" x14ac:dyDescent="0.3">
      <c r="A375" s="4" t="s">
        <v>480</v>
      </c>
      <c r="B375" s="4"/>
      <c r="C375" s="4" t="s">
        <v>548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S375" s="4"/>
      <c r="AT375" s="4"/>
      <c r="AU375" s="4"/>
      <c r="AV375" s="4"/>
      <c r="AW375" s="4"/>
    </row>
    <row r="376" spans="1:49" x14ac:dyDescent="0.3">
      <c r="A376" s="4" t="s">
        <v>490</v>
      </c>
      <c r="B376" s="4"/>
      <c r="C376" s="4" t="s">
        <v>548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S376" s="4"/>
      <c r="AT376" s="4"/>
      <c r="AU376" s="4"/>
      <c r="AV376" s="4"/>
      <c r="AW376" s="4"/>
    </row>
    <row r="377" spans="1:49" x14ac:dyDescent="0.3">
      <c r="A377" s="4" t="s">
        <v>495</v>
      </c>
      <c r="B377" s="4"/>
      <c r="C377" s="4" t="s">
        <v>575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S377" s="4"/>
      <c r="AT377" s="4"/>
      <c r="AU377" s="4"/>
      <c r="AV377" s="4"/>
      <c r="AW377" s="4"/>
    </row>
    <row r="378" spans="1:49" x14ac:dyDescent="0.3">
      <c r="A378" s="4" t="s">
        <v>503</v>
      </c>
      <c r="B378" s="4"/>
      <c r="C378" s="4" t="s">
        <v>575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S378" s="4"/>
      <c r="AT378" s="4"/>
      <c r="AU378" s="4"/>
      <c r="AV378" s="4"/>
      <c r="AW378" s="4"/>
    </row>
    <row r="379" spans="1:49" x14ac:dyDescent="0.3">
      <c r="A379" s="4" t="s">
        <v>510</v>
      </c>
      <c r="B379" s="4"/>
      <c r="C379" s="4" t="s">
        <v>1226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S379" s="4"/>
      <c r="AT379" s="4"/>
      <c r="AU379" s="4"/>
      <c r="AV379" s="4"/>
      <c r="AW379" s="4"/>
    </row>
    <row r="380" spans="1:49" x14ac:dyDescent="0.3">
      <c r="A380" s="4" t="s">
        <v>515</v>
      </c>
      <c r="B380" s="4"/>
      <c r="C380" s="4" t="s">
        <v>1226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S380" s="4"/>
      <c r="AT380" s="4"/>
      <c r="AU380" s="4"/>
      <c r="AV380" s="4"/>
      <c r="AW380" s="4"/>
    </row>
    <row r="381" spans="1:49" x14ac:dyDescent="0.3">
      <c r="A381" s="4" t="s">
        <v>523</v>
      </c>
      <c r="B381" s="4"/>
      <c r="C381" s="4" t="s">
        <v>1226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S381" s="4"/>
      <c r="AT381" s="4"/>
      <c r="AU381" s="4"/>
      <c r="AV381" s="4"/>
      <c r="AW381" s="4"/>
    </row>
    <row r="382" spans="1:49" x14ac:dyDescent="0.3">
      <c r="A382" s="4" t="s">
        <v>533</v>
      </c>
      <c r="B382" s="4"/>
      <c r="C382" s="4" t="s">
        <v>638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S382" s="4"/>
      <c r="AT382" s="4"/>
      <c r="AU382" s="4"/>
      <c r="AV382" s="4"/>
      <c r="AW382" s="4"/>
    </row>
    <row r="383" spans="1:49" x14ac:dyDescent="0.3">
      <c r="A383" s="4" t="s">
        <v>543</v>
      </c>
      <c r="B383" s="4"/>
      <c r="C383" s="4" t="s">
        <v>575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S383" s="4"/>
      <c r="AT383" s="4"/>
      <c r="AU383" s="4"/>
      <c r="AV383" s="4"/>
      <c r="AW383" s="4"/>
    </row>
    <row r="384" spans="1:49" x14ac:dyDescent="0.3">
      <c r="A384" s="4" t="s">
        <v>552</v>
      </c>
      <c r="B384" s="4"/>
      <c r="C384" s="4" t="s">
        <v>638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S384" s="4"/>
      <c r="AT384" s="4"/>
      <c r="AU384" s="4"/>
      <c r="AV384" s="4"/>
      <c r="AW384" s="4"/>
    </row>
    <row r="385" spans="1:49" x14ac:dyDescent="0.3">
      <c r="A385" s="4" t="s">
        <v>560</v>
      </c>
      <c r="B385" s="4"/>
      <c r="C385" s="4" t="s">
        <v>1234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S385" s="4"/>
      <c r="AT385" s="4"/>
      <c r="AU385" s="4"/>
      <c r="AV385" s="4"/>
      <c r="AW385" s="4"/>
    </row>
    <row r="386" spans="1:49" x14ac:dyDescent="0.3">
      <c r="A386" s="4" t="s">
        <v>565</v>
      </c>
      <c r="B386" s="4"/>
      <c r="C386" s="4" t="s">
        <v>1228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S386" s="4"/>
      <c r="AT386" s="4"/>
      <c r="AU386" s="4"/>
      <c r="AV386" s="4"/>
      <c r="AW386" s="4"/>
    </row>
    <row r="387" spans="1:49" x14ac:dyDescent="0.3">
      <c r="A387" s="4" t="s">
        <v>572</v>
      </c>
      <c r="B387" s="4"/>
      <c r="C387" s="4" t="s">
        <v>539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S387" s="4"/>
      <c r="AT387" s="4"/>
      <c r="AU387" s="4"/>
      <c r="AV387" s="4"/>
      <c r="AW387" s="4"/>
    </row>
    <row r="388" spans="1:49" x14ac:dyDescent="0.3">
      <c r="A388" s="4" t="s">
        <v>577</v>
      </c>
      <c r="B388" s="4" t="s">
        <v>1202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S388" s="4"/>
      <c r="AT388" s="4"/>
      <c r="AU388" s="4"/>
      <c r="AV388" s="4"/>
      <c r="AW388" s="4"/>
    </row>
    <row r="389" spans="1:49" x14ac:dyDescent="0.3">
      <c r="A389" s="4" t="s">
        <v>584</v>
      </c>
      <c r="B389" s="4" t="s">
        <v>575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S389" s="4"/>
      <c r="AT389" s="4"/>
      <c r="AU389" s="4"/>
      <c r="AV389" s="4"/>
      <c r="AW389" s="4"/>
    </row>
    <row r="390" spans="1:49" x14ac:dyDescent="0.3">
      <c r="A390" s="4" t="s">
        <v>591</v>
      </c>
      <c r="B390" s="4" t="s">
        <v>1226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S390" s="4"/>
      <c r="AT390" s="4"/>
      <c r="AU390" s="4"/>
      <c r="AV390" s="4"/>
      <c r="AW390" s="4"/>
    </row>
    <row r="391" spans="1:49" x14ac:dyDescent="0.3">
      <c r="A391" s="4" t="s">
        <v>600</v>
      </c>
      <c r="B391" s="4" t="s">
        <v>638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S391" s="4"/>
      <c r="AT391" s="4"/>
      <c r="AU391" s="4"/>
      <c r="AV391" s="4"/>
      <c r="AW391" s="4"/>
    </row>
    <row r="392" spans="1:49" x14ac:dyDescent="0.3">
      <c r="A392" s="4" t="s">
        <v>606</v>
      </c>
      <c r="B392" s="4" t="s">
        <v>1226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S392" s="4"/>
      <c r="AT392" s="4"/>
      <c r="AU392" s="4"/>
      <c r="AV392" s="4"/>
      <c r="AW392" s="4"/>
    </row>
    <row r="393" spans="1:49" x14ac:dyDescent="0.3">
      <c r="A393" s="4" t="s">
        <v>614</v>
      </c>
      <c r="B393" s="4" t="s">
        <v>1226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S393" s="4"/>
      <c r="AT393" s="4"/>
      <c r="AU393" s="4"/>
      <c r="AV393" s="4"/>
      <c r="AW393" s="4"/>
    </row>
    <row r="394" spans="1:49" x14ac:dyDescent="0.3">
      <c r="A394" s="4" t="s">
        <v>624</v>
      </c>
      <c r="B394" s="4" t="s">
        <v>1226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S394" s="4"/>
      <c r="AT394" s="4"/>
      <c r="AU394" s="4"/>
      <c r="AV394" s="4"/>
      <c r="AW394" s="4"/>
    </row>
    <row r="395" spans="1:49" x14ac:dyDescent="0.3">
      <c r="A395" s="4" t="s">
        <v>633</v>
      </c>
      <c r="B395" s="4" t="s">
        <v>548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S395" s="4"/>
      <c r="AT395" s="4"/>
      <c r="AU395" s="4"/>
      <c r="AV395" s="4"/>
      <c r="AW395" s="4"/>
    </row>
    <row r="396" spans="1:49" x14ac:dyDescent="0.3">
      <c r="A396" s="4" t="s">
        <v>642</v>
      </c>
      <c r="B396" s="4" t="s">
        <v>548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S396" s="4"/>
      <c r="AT396" s="4"/>
      <c r="AU396" s="4"/>
      <c r="AV396" s="4"/>
      <c r="AW396" s="4"/>
    </row>
    <row r="397" spans="1:49" x14ac:dyDescent="0.3">
      <c r="A397" s="4" t="s">
        <v>652</v>
      </c>
      <c r="B397" s="4" t="s">
        <v>575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S397" s="4"/>
      <c r="AT397" s="4"/>
      <c r="AU397" s="4"/>
      <c r="AV397" s="4"/>
      <c r="AW397" s="4"/>
    </row>
    <row r="398" spans="1:49" x14ac:dyDescent="0.3">
      <c r="A398" s="4" t="s">
        <v>660</v>
      </c>
      <c r="B398" s="4" t="s">
        <v>539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S398" s="4"/>
      <c r="AT398" s="4"/>
      <c r="AU398" s="4"/>
      <c r="AV398" s="4"/>
      <c r="AW398" s="4"/>
    </row>
    <row r="399" spans="1:49" x14ac:dyDescent="0.3">
      <c r="A399" s="4" t="s">
        <v>666</v>
      </c>
      <c r="B399" s="4" t="s">
        <v>575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S399" s="4"/>
      <c r="AT399" s="4"/>
      <c r="AU399" s="4"/>
      <c r="AV399" s="4"/>
      <c r="AW399" s="4"/>
    </row>
    <row r="400" spans="1:49" x14ac:dyDescent="0.3">
      <c r="A400" s="4" t="s">
        <v>676</v>
      </c>
      <c r="B400" s="4" t="s">
        <v>638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S400" s="4"/>
      <c r="AT400" s="4"/>
      <c r="AU400" s="4"/>
      <c r="AV400" s="4"/>
      <c r="AW400" s="4"/>
    </row>
    <row r="401" spans="1:49" x14ac:dyDescent="0.3">
      <c r="A401" s="4" t="s">
        <v>680</v>
      </c>
      <c r="B401" s="4" t="s">
        <v>1086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S401" s="4"/>
      <c r="AT401" s="4"/>
      <c r="AU401" s="4"/>
      <c r="AV401" s="4"/>
      <c r="AW401" s="4"/>
    </row>
    <row r="402" spans="1:49" x14ac:dyDescent="0.3">
      <c r="A402" s="4" t="s">
        <v>686</v>
      </c>
      <c r="B402" s="4" t="s">
        <v>638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S402" s="4"/>
      <c r="AT402" s="4"/>
      <c r="AU402" s="4"/>
      <c r="AV402" s="4"/>
      <c r="AW402" s="4"/>
    </row>
    <row r="403" spans="1:49" x14ac:dyDescent="0.3">
      <c r="A403" s="4" t="s">
        <v>692</v>
      </c>
      <c r="B403" s="4" t="s">
        <v>638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S403" s="4"/>
      <c r="AT403" s="4"/>
      <c r="AU403" s="4"/>
      <c r="AV403" s="4"/>
      <c r="AW403" s="4"/>
    </row>
    <row r="404" spans="1:49" x14ac:dyDescent="0.3">
      <c r="A404" s="4" t="s">
        <v>697</v>
      </c>
      <c r="B404" s="4" t="s">
        <v>1086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S404" s="4"/>
      <c r="AT404" s="4"/>
      <c r="AU404" s="4"/>
      <c r="AV404" s="4"/>
      <c r="AW404" s="4"/>
    </row>
    <row r="405" spans="1:49" x14ac:dyDescent="0.3">
      <c r="A405" s="4" t="s">
        <v>703</v>
      </c>
      <c r="B405" s="4" t="s">
        <v>548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S405" s="4"/>
      <c r="AT405" s="4"/>
      <c r="AU405" s="4"/>
      <c r="AV405" s="4"/>
      <c r="AW405" s="4"/>
    </row>
    <row r="406" spans="1:49" x14ac:dyDescent="0.3">
      <c r="A406" s="4" t="s">
        <v>709</v>
      </c>
      <c r="B406" s="4" t="s">
        <v>638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S406" s="4"/>
      <c r="AT406" s="4"/>
      <c r="AU406" s="4"/>
      <c r="AV406" s="4"/>
      <c r="AW406" s="4"/>
    </row>
    <row r="407" spans="1:49" x14ac:dyDescent="0.3">
      <c r="A407" s="4" t="s">
        <v>718</v>
      </c>
      <c r="B407" s="4" t="s">
        <v>638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S407" s="4"/>
      <c r="AT407" s="4"/>
      <c r="AU407" s="4"/>
      <c r="AV407" s="4"/>
      <c r="AW407" s="4"/>
    </row>
    <row r="408" spans="1:49" x14ac:dyDescent="0.3">
      <c r="A408" s="4" t="s">
        <v>726</v>
      </c>
      <c r="B408" s="4" t="s">
        <v>1228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S408" s="4"/>
      <c r="AT408" s="4"/>
      <c r="AU408" s="4"/>
      <c r="AV408" s="4"/>
      <c r="AW408" s="4"/>
    </row>
    <row r="409" spans="1:49" x14ac:dyDescent="0.3">
      <c r="A409" s="4" t="s">
        <v>734</v>
      </c>
      <c r="B409" s="4" t="s">
        <v>1086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S409" s="4"/>
      <c r="AT409" s="4"/>
      <c r="AU409" s="4"/>
      <c r="AV409" s="4"/>
      <c r="AW409" s="4"/>
    </row>
    <row r="410" spans="1:49" x14ac:dyDescent="0.3">
      <c r="A410" s="4" t="s">
        <v>738</v>
      </c>
      <c r="B410" s="4" t="s">
        <v>575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S410" s="4"/>
      <c r="AT410" s="4"/>
      <c r="AU410" s="4"/>
      <c r="AV410" s="4"/>
      <c r="AW410" s="4"/>
    </row>
    <row r="411" spans="1:49" x14ac:dyDescent="0.3">
      <c r="A411" s="4" t="s">
        <v>747</v>
      </c>
      <c r="B411" s="4" t="s">
        <v>1086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S411" s="4"/>
      <c r="AT411" s="4"/>
      <c r="AU411" s="4"/>
      <c r="AV411" s="4"/>
      <c r="AW411" s="4"/>
    </row>
    <row r="412" spans="1:49" x14ac:dyDescent="0.3">
      <c r="A412" s="4" t="s">
        <v>754</v>
      </c>
      <c r="B412" s="4" t="s">
        <v>1234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S412" s="4"/>
      <c r="AT412" s="4"/>
      <c r="AU412" s="4"/>
      <c r="AV412" s="4"/>
      <c r="AW412" s="4"/>
    </row>
    <row r="413" spans="1:49" x14ac:dyDescent="0.3">
      <c r="A413" s="4" t="s">
        <v>762</v>
      </c>
      <c r="B413" s="4" t="s">
        <v>539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S413" s="4"/>
      <c r="AT413" s="4"/>
      <c r="AU413" s="4"/>
      <c r="AV413" s="4"/>
      <c r="AW413" s="4"/>
    </row>
    <row r="414" spans="1:49" x14ac:dyDescent="0.3">
      <c r="A414" s="4" t="s">
        <v>772</v>
      </c>
      <c r="B414" s="4" t="s">
        <v>575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S414" s="4"/>
      <c r="AT414" s="4"/>
      <c r="AU414" s="4"/>
      <c r="AV414" s="4"/>
      <c r="AW414" s="4"/>
    </row>
    <row r="415" spans="1:49" x14ac:dyDescent="0.3">
      <c r="A415" s="4" t="s">
        <v>780</v>
      </c>
      <c r="B415" s="4" t="s">
        <v>539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S415" s="4"/>
      <c r="AT415" s="4"/>
      <c r="AU415" s="4"/>
      <c r="AV415" s="4"/>
      <c r="AW415" s="4"/>
    </row>
    <row r="416" spans="1:49" x14ac:dyDescent="0.3">
      <c r="A416" s="4" t="s">
        <v>785</v>
      </c>
      <c r="B416" s="4" t="s">
        <v>638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S416" s="4"/>
      <c r="AT416" s="4"/>
      <c r="AU416" s="4"/>
      <c r="AV416" s="4"/>
      <c r="AW416" s="4"/>
    </row>
    <row r="417" spans="1:49" x14ac:dyDescent="0.3">
      <c r="A417" s="4" t="s">
        <v>791</v>
      </c>
      <c r="B417" s="4" t="s">
        <v>1234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S417" s="4"/>
      <c r="AT417" s="4"/>
      <c r="AU417" s="4"/>
      <c r="AV417" s="4"/>
      <c r="AW417" s="4"/>
    </row>
    <row r="418" spans="1:49" x14ac:dyDescent="0.3">
      <c r="A418" s="4" t="s">
        <v>802</v>
      </c>
      <c r="B418" s="4" t="s">
        <v>638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S418" s="4"/>
      <c r="AT418" s="4"/>
      <c r="AU418" s="4"/>
      <c r="AV418" s="4"/>
      <c r="AW418" s="4"/>
    </row>
    <row r="419" spans="1:49" x14ac:dyDescent="0.3">
      <c r="A419" s="4" t="s">
        <v>807</v>
      </c>
      <c r="B419" s="4" t="s">
        <v>539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S419" s="4"/>
      <c r="AT419" s="4"/>
      <c r="AU419" s="4"/>
      <c r="AV419" s="4"/>
      <c r="AW419" s="4"/>
    </row>
    <row r="420" spans="1:49" x14ac:dyDescent="0.3">
      <c r="A420" s="4" t="s">
        <v>812</v>
      </c>
      <c r="B420" s="4" t="s">
        <v>1086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S420" s="4"/>
      <c r="AT420" s="4"/>
      <c r="AU420" s="4"/>
      <c r="AV420" s="4"/>
      <c r="AW420" s="4"/>
    </row>
    <row r="421" spans="1:49" x14ac:dyDescent="0.3">
      <c r="A421" s="4" t="s">
        <v>820</v>
      </c>
      <c r="B421" s="4" t="s">
        <v>1086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S421" s="4"/>
      <c r="AT421" s="4"/>
      <c r="AU421" s="4"/>
      <c r="AV421" s="4"/>
      <c r="AW421" s="4"/>
    </row>
    <row r="422" spans="1:49" x14ac:dyDescent="0.3">
      <c r="A422" s="4" t="s">
        <v>827</v>
      </c>
      <c r="B422" s="4" t="s">
        <v>1086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S422" s="4"/>
      <c r="AT422" s="4"/>
      <c r="AU422" s="4"/>
      <c r="AV422" s="4"/>
      <c r="AW422" s="4"/>
    </row>
    <row r="423" spans="1:49" x14ac:dyDescent="0.3">
      <c r="A423" s="4" t="s">
        <v>835</v>
      </c>
      <c r="B423" s="4" t="s">
        <v>575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S423" s="4"/>
      <c r="AT423" s="4"/>
      <c r="AU423" s="4"/>
      <c r="AV423" s="4"/>
      <c r="AW423" s="4"/>
    </row>
    <row r="424" spans="1:49" x14ac:dyDescent="0.3">
      <c r="A424" s="4" t="s">
        <v>839</v>
      </c>
      <c r="B424" s="4" t="s">
        <v>548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S424" s="4"/>
      <c r="AT424" s="4"/>
      <c r="AU424" s="4"/>
      <c r="AV424" s="4"/>
      <c r="AW424" s="4"/>
    </row>
    <row r="425" spans="1:49" x14ac:dyDescent="0.3">
      <c r="A425" s="4" t="s">
        <v>846</v>
      </c>
      <c r="B425" s="4" t="s">
        <v>1226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S425" s="4"/>
      <c r="AT425" s="4"/>
      <c r="AU425" s="4"/>
      <c r="AV425" s="4"/>
      <c r="AW425" s="4"/>
    </row>
    <row r="426" spans="1:49" x14ac:dyDescent="0.3">
      <c r="A426" s="4" t="s">
        <v>852</v>
      </c>
      <c r="B426" s="4" t="s">
        <v>638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S426" s="4"/>
      <c r="AT426" s="4"/>
      <c r="AU426" s="4"/>
      <c r="AV426" s="4"/>
      <c r="AW426" s="4"/>
    </row>
    <row r="427" spans="1:49" x14ac:dyDescent="0.3">
      <c r="A427" s="4" t="s">
        <v>856</v>
      </c>
      <c r="B427" s="4" t="s">
        <v>548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S427" s="4"/>
      <c r="AT427" s="4"/>
      <c r="AU427" s="4"/>
      <c r="AV427" s="4"/>
      <c r="AW427" s="4"/>
    </row>
    <row r="428" spans="1:49" x14ac:dyDescent="0.3">
      <c r="A428" s="4" t="s">
        <v>860</v>
      </c>
      <c r="B428" s="4" t="s">
        <v>1086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S428" s="4"/>
      <c r="AT428" s="4"/>
      <c r="AU428" s="4"/>
      <c r="AV428" s="4"/>
      <c r="AW428" s="4"/>
    </row>
    <row r="429" spans="1:49" x14ac:dyDescent="0.3">
      <c r="A429" s="4" t="s">
        <v>864</v>
      </c>
      <c r="B429" s="4" t="s">
        <v>1234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S429" s="4"/>
      <c r="AT429" s="4"/>
      <c r="AU429" s="4"/>
      <c r="AV429" s="4"/>
      <c r="AW429" s="4"/>
    </row>
    <row r="430" spans="1:49" x14ac:dyDescent="0.3">
      <c r="A430" s="4" t="s">
        <v>869</v>
      </c>
      <c r="B430" s="4" t="s">
        <v>1226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S430" s="4"/>
      <c r="AT430" s="4"/>
      <c r="AU430" s="4"/>
      <c r="AV430" s="4"/>
      <c r="AW430" s="4"/>
    </row>
    <row r="431" spans="1:49" x14ac:dyDescent="0.3">
      <c r="A431" s="4" t="s">
        <v>875</v>
      </c>
      <c r="B431" s="4" t="s">
        <v>548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S431" s="4"/>
      <c r="AT431" s="4"/>
      <c r="AU431" s="4"/>
      <c r="AV431" s="4"/>
      <c r="AW431" s="4"/>
    </row>
    <row r="432" spans="1:49" x14ac:dyDescent="0.3">
      <c r="A432" s="4" t="s">
        <v>883</v>
      </c>
      <c r="B432" s="4" t="s">
        <v>1224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S432" s="4"/>
      <c r="AT432" s="4"/>
      <c r="AU432" s="4"/>
      <c r="AV432" s="4"/>
      <c r="AW432" s="4"/>
    </row>
    <row r="433" spans="1:49" x14ac:dyDescent="0.3">
      <c r="A433" s="4" t="s">
        <v>888</v>
      </c>
      <c r="B433" s="4" t="s">
        <v>1226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S433" s="4"/>
      <c r="AT433" s="4"/>
      <c r="AU433" s="4"/>
      <c r="AV433" s="4"/>
      <c r="AW433" s="4"/>
    </row>
    <row r="434" spans="1:49" x14ac:dyDescent="0.3">
      <c r="A434" s="4" t="s">
        <v>894</v>
      </c>
      <c r="B434" s="4" t="s">
        <v>575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S434" s="4"/>
      <c r="AT434" s="4"/>
      <c r="AU434" s="4"/>
      <c r="AV434" s="4"/>
      <c r="AW434" s="4"/>
    </row>
    <row r="435" spans="1:49" x14ac:dyDescent="0.3">
      <c r="A435" s="4" t="s">
        <v>902</v>
      </c>
      <c r="B435" s="4" t="s">
        <v>1086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S435" s="4"/>
      <c r="AT435" s="4"/>
      <c r="AU435" s="4"/>
      <c r="AV435" s="4"/>
      <c r="AW435" s="4"/>
    </row>
    <row r="436" spans="1:49" x14ac:dyDescent="0.3">
      <c r="A436" s="4" t="s">
        <v>910</v>
      </c>
      <c r="B436" s="4" t="s">
        <v>1234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S436" s="4"/>
      <c r="AT436" s="4"/>
      <c r="AU436" s="4"/>
      <c r="AV436" s="4"/>
      <c r="AW436" s="4"/>
    </row>
    <row r="437" spans="1:49" x14ac:dyDescent="0.3">
      <c r="A437" s="4" t="s">
        <v>915</v>
      </c>
      <c r="B437" s="4" t="s">
        <v>575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S437" s="4"/>
      <c r="AT437" s="4"/>
      <c r="AU437" s="4"/>
      <c r="AV437" s="4"/>
      <c r="AW437" s="4"/>
    </row>
    <row r="438" spans="1:49" x14ac:dyDescent="0.3">
      <c r="A438" s="4" t="s">
        <v>921</v>
      </c>
      <c r="B438" s="4" t="s">
        <v>1224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S438" s="4"/>
      <c r="AT438" s="4"/>
      <c r="AU438" s="4"/>
      <c r="AV438" s="4"/>
      <c r="AW438" s="4"/>
    </row>
    <row r="439" spans="1:49" x14ac:dyDescent="0.3">
      <c r="A439" s="4" t="s">
        <v>928</v>
      </c>
      <c r="B439" s="4" t="s">
        <v>850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S439" s="4"/>
      <c r="AT439" s="4"/>
      <c r="AU439" s="4"/>
      <c r="AV439" s="4"/>
      <c r="AW439" s="4"/>
    </row>
    <row r="440" spans="1:49" x14ac:dyDescent="0.3">
      <c r="A440" s="4" t="s">
        <v>936</v>
      </c>
      <c r="B440" s="4" t="s">
        <v>1086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S440" s="4"/>
      <c r="AT440" s="4"/>
      <c r="AU440" s="4"/>
      <c r="AV440" s="4"/>
      <c r="AW440" s="4"/>
    </row>
    <row r="441" spans="1:49" x14ac:dyDescent="0.3">
      <c r="A441" s="4" t="s">
        <v>941</v>
      </c>
      <c r="B441" s="4" t="s">
        <v>52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S441" s="4"/>
      <c r="AT441" s="4"/>
      <c r="AU441" s="4"/>
      <c r="AV441" s="4"/>
      <c r="AW441" s="4"/>
    </row>
    <row r="442" spans="1:49" x14ac:dyDescent="0.3">
      <c r="A442" s="4" t="s">
        <v>947</v>
      </c>
      <c r="B442" s="4" t="s">
        <v>52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S442" s="4"/>
      <c r="AT442" s="4"/>
      <c r="AU442" s="4"/>
      <c r="AV442" s="4"/>
      <c r="AW442" s="4"/>
    </row>
    <row r="443" spans="1:49" x14ac:dyDescent="0.3">
      <c r="A443" s="4" t="s">
        <v>953</v>
      </c>
      <c r="B443" s="4" t="s">
        <v>52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S443" s="4"/>
      <c r="AT443" s="4"/>
      <c r="AU443" s="4"/>
      <c r="AV443" s="4"/>
      <c r="AW443" s="4"/>
    </row>
    <row r="444" spans="1:49" x14ac:dyDescent="0.3">
      <c r="A444" s="4" t="s">
        <v>958</v>
      </c>
      <c r="B444" s="4" t="s">
        <v>52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S444" s="4"/>
      <c r="AT444" s="4"/>
      <c r="AU444" s="4"/>
      <c r="AV444" s="4"/>
      <c r="AW444" s="4"/>
    </row>
    <row r="445" spans="1:49" x14ac:dyDescent="0.3">
      <c r="A445" s="4" t="s">
        <v>962</v>
      </c>
      <c r="B445" s="4" t="s">
        <v>638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S445" s="4"/>
      <c r="AT445" s="4"/>
      <c r="AU445" s="4"/>
      <c r="AV445" s="4"/>
      <c r="AW445" s="4"/>
    </row>
    <row r="446" spans="1:49" x14ac:dyDescent="0.3">
      <c r="A446" s="4" t="s">
        <v>968</v>
      </c>
      <c r="B446" s="4" t="s">
        <v>638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S446" s="4"/>
      <c r="AT446" s="4"/>
      <c r="AU446" s="4"/>
      <c r="AV446" s="4"/>
      <c r="AW446" s="4"/>
    </row>
    <row r="447" spans="1:49" x14ac:dyDescent="0.3">
      <c r="A447" s="4" t="s">
        <v>972</v>
      </c>
      <c r="B447" s="4" t="s">
        <v>638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S447" s="4"/>
      <c r="AT447" s="4"/>
      <c r="AU447" s="4"/>
      <c r="AV447" s="4"/>
      <c r="AW447" s="4"/>
    </row>
    <row r="448" spans="1:49" x14ac:dyDescent="0.3">
      <c r="A448" s="4" t="s">
        <v>978</v>
      </c>
      <c r="B448" s="4" t="s">
        <v>1202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S448" s="4"/>
      <c r="AT448" s="4"/>
      <c r="AU448" s="4"/>
      <c r="AV448" s="4"/>
      <c r="AW448" s="4"/>
    </row>
    <row r="449" spans="1:49" x14ac:dyDescent="0.3">
      <c r="A449" s="4" t="s">
        <v>983</v>
      </c>
      <c r="B449" s="4" t="s">
        <v>638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S449" s="4"/>
      <c r="AT449" s="4"/>
      <c r="AU449" s="4"/>
      <c r="AV449" s="4"/>
      <c r="AW449" s="4"/>
    </row>
    <row r="450" spans="1:49" x14ac:dyDescent="0.3">
      <c r="A450" s="4" t="s">
        <v>987</v>
      </c>
      <c r="B450" s="4" t="s">
        <v>1234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S450" s="4"/>
      <c r="AT450" s="4"/>
      <c r="AU450" s="4"/>
      <c r="AV450" s="4"/>
      <c r="AW450" s="4"/>
    </row>
    <row r="451" spans="1:49" x14ac:dyDescent="0.3">
      <c r="A451" s="4" t="s">
        <v>991</v>
      </c>
      <c r="B451" s="4" t="s">
        <v>575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S451" s="4"/>
      <c r="AT451" s="4"/>
      <c r="AU451" s="4"/>
      <c r="AV451" s="4"/>
      <c r="AW451" s="4"/>
    </row>
    <row r="452" spans="1:49" x14ac:dyDescent="0.3">
      <c r="A452" s="4" t="s">
        <v>996</v>
      </c>
      <c r="B452" s="4" t="s">
        <v>539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S452" s="4"/>
      <c r="AT452" s="4"/>
      <c r="AU452" s="4"/>
      <c r="AV452" s="4"/>
      <c r="AW452" s="4"/>
    </row>
    <row r="453" spans="1:49" x14ac:dyDescent="0.3">
      <c r="A453" s="4" t="s">
        <v>1001</v>
      </c>
      <c r="B453" s="4" t="s">
        <v>1228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S453" s="4"/>
      <c r="AT453" s="4"/>
      <c r="AU453" s="4"/>
      <c r="AV453" s="4"/>
      <c r="AW453" s="4"/>
    </row>
    <row r="454" spans="1:49" x14ac:dyDescent="0.3">
      <c r="A454" s="4" t="s">
        <v>1011</v>
      </c>
      <c r="B454" s="4" t="s">
        <v>638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S454" s="4"/>
      <c r="AT454" s="4"/>
      <c r="AU454" s="4"/>
      <c r="AV454" s="4"/>
      <c r="AW454" s="4"/>
    </row>
    <row r="455" spans="1:49" x14ac:dyDescent="0.3">
      <c r="A455" s="4" t="s">
        <v>1018</v>
      </c>
      <c r="B455" s="4" t="s">
        <v>1228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S455" s="4"/>
      <c r="AT455" s="4"/>
      <c r="AU455" s="4"/>
      <c r="AV455" s="4"/>
      <c r="AW455" s="4"/>
    </row>
    <row r="456" spans="1:49" x14ac:dyDescent="0.3">
      <c r="A456" s="4" t="s">
        <v>1028</v>
      </c>
      <c r="B456" s="4" t="s">
        <v>1228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S456" s="4"/>
      <c r="AT456" s="4"/>
      <c r="AU456" s="4"/>
      <c r="AV456" s="4"/>
      <c r="AW456" s="4"/>
    </row>
    <row r="457" spans="1:49" x14ac:dyDescent="0.3">
      <c r="A457" s="4" t="s">
        <v>1035</v>
      </c>
      <c r="B457" s="4" t="s">
        <v>1228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S457" s="4"/>
      <c r="AT457" s="4"/>
      <c r="AU457" s="4"/>
      <c r="AV457" s="4"/>
      <c r="AW457" s="4"/>
    </row>
    <row r="458" spans="1:49" x14ac:dyDescent="0.3">
      <c r="A458" s="4" t="s">
        <v>1039</v>
      </c>
      <c r="B458" s="4" t="s">
        <v>638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S458" s="4"/>
      <c r="AT458" s="4"/>
      <c r="AU458" s="4"/>
      <c r="AV458" s="4"/>
      <c r="AW458" s="4"/>
    </row>
    <row r="459" spans="1:49" x14ac:dyDescent="0.3">
      <c r="A459" s="4" t="s">
        <v>1046</v>
      </c>
      <c r="B459" s="4" t="s">
        <v>1234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S459" s="4"/>
      <c r="AT459" s="4"/>
      <c r="AU459" s="4"/>
      <c r="AV459" s="4"/>
      <c r="AW459" s="4"/>
    </row>
    <row r="460" spans="1:49" x14ac:dyDescent="0.3">
      <c r="A460" s="4" t="s">
        <v>1052</v>
      </c>
      <c r="B460" s="4" t="s">
        <v>1228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S460" s="4"/>
      <c r="AT460" s="4"/>
      <c r="AU460" s="4"/>
      <c r="AV460" s="4"/>
      <c r="AW460" s="4"/>
    </row>
    <row r="461" spans="1:49" x14ac:dyDescent="0.3">
      <c r="A461" s="4" t="s">
        <v>1059</v>
      </c>
      <c r="B461" s="4" t="s">
        <v>1228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S461" s="4"/>
      <c r="AT461" s="4"/>
      <c r="AU461" s="4"/>
      <c r="AV461" s="4"/>
      <c r="AW461" s="4"/>
    </row>
    <row r="462" spans="1:49" x14ac:dyDescent="0.3">
      <c r="A462" s="4" t="s">
        <v>1064</v>
      </c>
      <c r="B462" s="4" t="s">
        <v>1234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S462" s="4"/>
      <c r="AT462" s="4"/>
      <c r="AU462" s="4"/>
      <c r="AV462" s="4"/>
      <c r="AW462" s="4"/>
    </row>
    <row r="463" spans="1:49" x14ac:dyDescent="0.3">
      <c r="A463" s="4" t="s">
        <v>1069</v>
      </c>
      <c r="B463" s="4" t="s">
        <v>638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S463" s="4"/>
      <c r="AT463" s="4"/>
      <c r="AU463" s="4"/>
      <c r="AV463" s="4"/>
      <c r="AW463" s="4"/>
    </row>
    <row r="464" spans="1:49" x14ac:dyDescent="0.3">
      <c r="A464" s="4" t="s">
        <v>1073</v>
      </c>
      <c r="B464" s="4" t="s">
        <v>638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S464" s="4"/>
      <c r="AT464" s="4"/>
      <c r="AU464" s="4"/>
      <c r="AV464" s="4"/>
      <c r="AW464" s="4"/>
    </row>
    <row r="465" spans="1:49" x14ac:dyDescent="0.3">
      <c r="A465" s="4" t="s">
        <v>1079</v>
      </c>
      <c r="B465" s="4" t="s">
        <v>1228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S465" s="4"/>
      <c r="AT465" s="4"/>
      <c r="AU465" s="4"/>
      <c r="AV465" s="4"/>
      <c r="AW465" s="4"/>
    </row>
    <row r="466" spans="1:49" x14ac:dyDescent="0.3">
      <c r="A466" s="4" t="s">
        <v>1084</v>
      </c>
      <c r="B466" s="4" t="s">
        <v>539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S466" s="4"/>
      <c r="AT466" s="4"/>
      <c r="AU466" s="4"/>
      <c r="AV466" s="4"/>
      <c r="AW466" s="4"/>
    </row>
    <row r="467" spans="1:49" x14ac:dyDescent="0.3">
      <c r="A467" s="4" t="s">
        <v>1089</v>
      </c>
      <c r="B467" s="4" t="s">
        <v>1228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S467" s="4"/>
      <c r="AT467" s="4"/>
      <c r="AU467" s="4"/>
      <c r="AV467" s="4"/>
      <c r="AW467" s="4"/>
    </row>
    <row r="468" spans="1:49" x14ac:dyDescent="0.3">
      <c r="A468" s="4" t="s">
        <v>1095</v>
      </c>
      <c r="B468" s="4" t="s">
        <v>1228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S468" s="4"/>
      <c r="AT468" s="4"/>
      <c r="AU468" s="4"/>
      <c r="AV468" s="4"/>
      <c r="AW468" s="4"/>
    </row>
    <row r="469" spans="1:49" x14ac:dyDescent="0.3">
      <c r="A469" s="4" t="s">
        <v>1101</v>
      </c>
      <c r="B469" s="4" t="s">
        <v>1228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S469" s="4"/>
      <c r="AT469" s="4"/>
      <c r="AU469" s="4"/>
      <c r="AV469" s="4"/>
      <c r="AW469" s="4"/>
    </row>
    <row r="470" spans="1:49" x14ac:dyDescent="0.3">
      <c r="A470" s="4" t="s">
        <v>1106</v>
      </c>
      <c r="B470" s="4" t="s">
        <v>1086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S470" s="4"/>
      <c r="AT470" s="4"/>
      <c r="AU470" s="4"/>
      <c r="AV470" s="4"/>
      <c r="AW470" s="4"/>
    </row>
    <row r="471" spans="1:49" x14ac:dyDescent="0.3">
      <c r="A471" s="4" t="s">
        <v>1110</v>
      </c>
      <c r="B471" s="4" t="s">
        <v>1224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S471" s="4"/>
      <c r="AT471" s="4"/>
      <c r="AU471" s="4"/>
      <c r="AV471" s="4"/>
      <c r="AW471" s="4"/>
    </row>
    <row r="472" spans="1:49" x14ac:dyDescent="0.3">
      <c r="A472" s="4" t="s">
        <v>1117</v>
      </c>
      <c r="B472" s="4" t="s">
        <v>539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S472" s="4"/>
      <c r="AT472" s="4"/>
      <c r="AU472" s="4"/>
      <c r="AV472" s="4"/>
      <c r="AW472" s="4"/>
    </row>
    <row r="473" spans="1:49" x14ac:dyDescent="0.3">
      <c r="A473" s="4" t="s">
        <v>1123</v>
      </c>
      <c r="B473" s="4" t="s">
        <v>1228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S473" s="4"/>
      <c r="AT473" s="4"/>
      <c r="AU473" s="4"/>
      <c r="AV473" s="4"/>
      <c r="AW473" s="4"/>
    </row>
    <row r="474" spans="1:49" x14ac:dyDescent="0.3">
      <c r="A474" s="4" t="s">
        <v>1127</v>
      </c>
      <c r="B474" s="4" t="s">
        <v>1228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S474" s="4"/>
      <c r="AT474" s="4"/>
      <c r="AU474" s="4"/>
      <c r="AV474" s="4"/>
      <c r="AW474" s="4"/>
    </row>
    <row r="475" spans="1:49" x14ac:dyDescent="0.3">
      <c r="A475" s="4" t="s">
        <v>1134</v>
      </c>
      <c r="B475" s="4" t="s">
        <v>1228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S475" s="4"/>
      <c r="AT475" s="4"/>
      <c r="AU475" s="4"/>
      <c r="AV475" s="4"/>
      <c r="AW475" s="4"/>
    </row>
    <row r="476" spans="1:49" x14ac:dyDescent="0.3">
      <c r="A476" s="4" t="s">
        <v>1140</v>
      </c>
      <c r="B476" s="4" t="s">
        <v>1225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S476" s="4"/>
      <c r="AT476" s="4"/>
      <c r="AU476" s="4"/>
      <c r="AV476" s="4"/>
      <c r="AW476" s="4"/>
    </row>
    <row r="477" spans="1:49" x14ac:dyDescent="0.3">
      <c r="A477" s="4" t="s">
        <v>1144</v>
      </c>
      <c r="B477" s="4" t="s">
        <v>1231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S477" s="4"/>
      <c r="AT477" s="4"/>
      <c r="AU477" s="4"/>
      <c r="AV477" s="4"/>
      <c r="AW477" s="4"/>
    </row>
    <row r="478" spans="1:49" x14ac:dyDescent="0.3">
      <c r="A478" s="4" t="s">
        <v>1151</v>
      </c>
      <c r="B478" s="4" t="s">
        <v>1232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S478" s="4"/>
      <c r="AT478" s="4"/>
      <c r="AU478" s="4"/>
      <c r="AV478" s="4"/>
      <c r="AW478" s="4"/>
    </row>
    <row r="479" spans="1:49" x14ac:dyDescent="0.3">
      <c r="A479" s="4" t="s">
        <v>1159</v>
      </c>
      <c r="B479" s="4" t="s">
        <v>549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S479" s="4"/>
      <c r="AT479" s="4"/>
      <c r="AU479" s="4"/>
      <c r="AV479" s="4"/>
      <c r="AW479" s="4"/>
    </row>
    <row r="480" spans="1:49" x14ac:dyDescent="0.3">
      <c r="A480" s="4" t="s">
        <v>1166</v>
      </c>
      <c r="B480" s="4" t="s">
        <v>638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S480" s="4"/>
      <c r="AT480" s="4"/>
      <c r="AU480" s="4"/>
      <c r="AV480" s="4"/>
      <c r="AW480" s="4"/>
    </row>
    <row r="481" spans="1:49" x14ac:dyDescent="0.3">
      <c r="A481" s="4" t="s">
        <v>1172</v>
      </c>
      <c r="B481" s="4" t="s">
        <v>638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S481" s="4"/>
      <c r="AT481" s="4"/>
      <c r="AU481" s="4"/>
      <c r="AV481" s="4"/>
      <c r="AW481" s="4"/>
    </row>
    <row r="482" spans="1:49" x14ac:dyDescent="0.3">
      <c r="A482" s="4" t="s">
        <v>1181</v>
      </c>
      <c r="B482" s="4" t="s">
        <v>1224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S482" s="4"/>
      <c r="AT482" s="4"/>
      <c r="AU482" s="4"/>
      <c r="AV482" s="4"/>
      <c r="AW482" s="4"/>
    </row>
    <row r="483" spans="1:49" x14ac:dyDescent="0.3">
      <c r="A483" s="4" t="s">
        <v>1203</v>
      </c>
      <c r="B483" s="4" t="s">
        <v>1086</v>
      </c>
    </row>
    <row r="484" spans="1:49" x14ac:dyDescent="0.3">
      <c r="A484" s="4" t="s">
        <v>2298</v>
      </c>
      <c r="B484" s="4" t="s">
        <v>1226</v>
      </c>
    </row>
    <row r="485" spans="1:49" x14ac:dyDescent="0.3">
      <c r="A485" s="4" t="s">
        <v>2299</v>
      </c>
      <c r="B485" s="4" t="s">
        <v>638</v>
      </c>
    </row>
    <row r="486" spans="1:49" x14ac:dyDescent="0.3">
      <c r="A486" s="4" t="s">
        <v>2300</v>
      </c>
      <c r="B486" s="4" t="s">
        <v>1086</v>
      </c>
    </row>
    <row r="487" spans="1:49" x14ac:dyDescent="0.3">
      <c r="A487" s="4" t="s">
        <v>2301</v>
      </c>
      <c r="B487" s="4" t="s">
        <v>1086</v>
      </c>
    </row>
    <row r="488" spans="1:49" x14ac:dyDescent="0.3">
      <c r="A488" s="4" t="s">
        <v>2302</v>
      </c>
      <c r="B488" s="4" t="s">
        <v>575</v>
      </c>
    </row>
    <row r="489" spans="1:49" x14ac:dyDescent="0.3">
      <c r="A489" s="4" t="s">
        <v>2303</v>
      </c>
      <c r="B489" s="4" t="s">
        <v>539</v>
      </c>
    </row>
    <row r="490" spans="1:49" x14ac:dyDescent="0.3">
      <c r="A490" s="4" t="s">
        <v>2304</v>
      </c>
      <c r="B490" s="4" t="s">
        <v>52</v>
      </c>
    </row>
    <row r="491" spans="1:49" x14ac:dyDescent="0.3">
      <c r="A491" s="4" t="s">
        <v>2305</v>
      </c>
      <c r="B491" s="4" t="s">
        <v>52</v>
      </c>
    </row>
    <row r="492" spans="1:49" x14ac:dyDescent="0.3">
      <c r="A492" s="4" t="s">
        <v>2306</v>
      </c>
      <c r="B492" s="4" t="s">
        <v>52</v>
      </c>
    </row>
    <row r="493" spans="1:49" x14ac:dyDescent="0.3">
      <c r="A493" s="4" t="s">
        <v>2307</v>
      </c>
      <c r="B493" s="4" t="s">
        <v>52</v>
      </c>
    </row>
    <row r="494" spans="1:49" x14ac:dyDescent="0.3">
      <c r="A494" s="4" t="s">
        <v>2308</v>
      </c>
      <c r="B494" s="4" t="s">
        <v>52</v>
      </c>
    </row>
    <row r="495" spans="1:49" x14ac:dyDescent="0.3">
      <c r="A495" s="4" t="s">
        <v>2262</v>
      </c>
      <c r="B495" s="4" t="s">
        <v>52</v>
      </c>
    </row>
    <row r="496" spans="1:49" x14ac:dyDescent="0.3">
      <c r="A496" s="4" t="s">
        <v>2266</v>
      </c>
      <c r="B496" s="4" t="s">
        <v>52</v>
      </c>
    </row>
    <row r="497" spans="1:2" x14ac:dyDescent="0.3">
      <c r="A497" s="4" t="s">
        <v>2271</v>
      </c>
      <c r="B497" s="4" t="s">
        <v>52</v>
      </c>
    </row>
    <row r="498" spans="1:2" x14ac:dyDescent="0.3">
      <c r="A498" s="4" t="s">
        <v>2277</v>
      </c>
      <c r="B498" s="4" t="s">
        <v>52</v>
      </c>
    </row>
    <row r="499" spans="1:2" x14ac:dyDescent="0.3">
      <c r="A499" s="4" t="s">
        <v>2284</v>
      </c>
      <c r="B499" s="4" t="s">
        <v>52</v>
      </c>
    </row>
    <row r="500" spans="1:2" x14ac:dyDescent="0.3">
      <c r="A500" s="4" t="s">
        <v>2290</v>
      </c>
      <c r="B500" s="4" t="s">
        <v>52</v>
      </c>
    </row>
  </sheetData>
  <mergeCells count="4">
    <mergeCell ref="A4:E4"/>
    <mergeCell ref="A231:E231"/>
    <mergeCell ref="A307:E307"/>
    <mergeCell ref="A324:E324"/>
  </mergeCells>
  <hyperlinks>
    <hyperlink ref="A2" r:id="rId1" xr:uid="{00000000-0004-0000-0200-00000000000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U188"/>
  <sheetViews>
    <sheetView workbookViewId="0">
      <pane xSplit="2" ySplit="6" topLeftCell="C61" activePane="bottomRight" state="frozen"/>
      <selection pane="topRight" activeCell="C1" sqref="C1"/>
      <selection pane="bottomLeft" activeCell="A7" sqref="A7"/>
      <selection pane="bottomRight" activeCell="D133" sqref="D133"/>
    </sheetView>
  </sheetViews>
  <sheetFormatPr defaultRowHeight="14.4" x14ac:dyDescent="0.3"/>
  <cols>
    <col min="1" max="1" width="12.6640625" customWidth="1"/>
    <col min="2" max="3" width="14.109375" style="9" customWidth="1"/>
    <col min="4" max="27" width="12.6640625" customWidth="1"/>
  </cols>
  <sheetData>
    <row r="3" spans="1:46" x14ac:dyDescent="0.3">
      <c r="A3" s="9"/>
      <c r="D3" s="9" t="s">
        <v>5</v>
      </c>
      <c r="E3" s="9" t="s">
        <v>5</v>
      </c>
      <c r="F3" s="9" t="s">
        <v>7</v>
      </c>
      <c r="G3" s="9" t="s">
        <v>7</v>
      </c>
      <c r="H3" s="9" t="s">
        <v>2321</v>
      </c>
      <c r="I3" s="9" t="s">
        <v>2321</v>
      </c>
      <c r="J3" s="9" t="s">
        <v>8</v>
      </c>
      <c r="K3" s="9" t="s">
        <v>8</v>
      </c>
      <c r="L3" s="9" t="s">
        <v>10</v>
      </c>
      <c r="M3" s="9" t="s">
        <v>10</v>
      </c>
      <c r="N3" s="9" t="s">
        <v>10</v>
      </c>
      <c r="O3" s="9" t="s">
        <v>10</v>
      </c>
      <c r="P3" s="9" t="s">
        <v>11</v>
      </c>
      <c r="Q3" s="9" t="s">
        <v>11</v>
      </c>
      <c r="R3" s="9" t="s">
        <v>2345</v>
      </c>
      <c r="S3" s="9" t="s">
        <v>2345</v>
      </c>
      <c r="T3" s="9" t="s">
        <v>12</v>
      </c>
      <c r="U3" s="9" t="s">
        <v>13</v>
      </c>
      <c r="V3" s="9" t="s">
        <v>13</v>
      </c>
      <c r="W3" s="9" t="s">
        <v>13</v>
      </c>
      <c r="X3" s="9" t="s">
        <v>15</v>
      </c>
      <c r="Y3" s="9" t="s">
        <v>15</v>
      </c>
      <c r="Z3" s="9" t="s">
        <v>9</v>
      </c>
      <c r="AA3" s="9" t="s">
        <v>9</v>
      </c>
    </row>
    <row r="4" spans="1:46" x14ac:dyDescent="0.3">
      <c r="A4" s="9"/>
      <c r="D4" s="9" t="s">
        <v>16</v>
      </c>
      <c r="E4" s="9" t="s">
        <v>17</v>
      </c>
      <c r="F4" s="9" t="s">
        <v>20</v>
      </c>
      <c r="G4" s="9" t="s">
        <v>21</v>
      </c>
      <c r="H4" s="9" t="s">
        <v>2322</v>
      </c>
      <c r="I4" s="9" t="s">
        <v>2323</v>
      </c>
      <c r="J4" s="9" t="s">
        <v>23</v>
      </c>
      <c r="K4" s="9" t="s">
        <v>24</v>
      </c>
      <c r="L4" s="9" t="s">
        <v>26</v>
      </c>
      <c r="M4" s="9" t="s">
        <v>27</v>
      </c>
      <c r="N4" s="9" t="s">
        <v>27</v>
      </c>
      <c r="O4" s="9" t="s">
        <v>29</v>
      </c>
      <c r="P4" s="9" t="s">
        <v>31</v>
      </c>
      <c r="Q4" s="9" t="s">
        <v>32</v>
      </c>
      <c r="R4" s="9" t="s">
        <v>36</v>
      </c>
      <c r="S4" s="9" t="s">
        <v>36</v>
      </c>
      <c r="T4" s="9" t="s">
        <v>17</v>
      </c>
      <c r="U4" s="9" t="s">
        <v>33</v>
      </c>
      <c r="V4" s="9" t="s">
        <v>1244</v>
      </c>
      <c r="W4" s="9" t="s">
        <v>1245</v>
      </c>
      <c r="X4" s="9" t="s">
        <v>37</v>
      </c>
      <c r="Y4" s="9" t="s">
        <v>38</v>
      </c>
      <c r="Z4" s="9" t="s">
        <v>25</v>
      </c>
      <c r="AA4" s="9" t="s">
        <v>25</v>
      </c>
    </row>
    <row r="5" spans="1:46" x14ac:dyDescent="0.3">
      <c r="A5" s="9" t="s">
        <v>39</v>
      </c>
      <c r="D5" s="9" t="s">
        <v>41</v>
      </c>
      <c r="E5" s="9" t="s">
        <v>43</v>
      </c>
      <c r="F5" s="9" t="s">
        <v>44</v>
      </c>
      <c r="G5" s="9" t="s">
        <v>45</v>
      </c>
      <c r="H5" s="9" t="s">
        <v>44</v>
      </c>
      <c r="I5" s="9" t="s">
        <v>45</v>
      </c>
      <c r="J5" s="9" t="s">
        <v>41</v>
      </c>
      <c r="K5" s="9" t="s">
        <v>45</v>
      </c>
      <c r="L5" s="9" t="s">
        <v>41</v>
      </c>
      <c r="M5" s="9" t="s">
        <v>41</v>
      </c>
      <c r="N5" s="9" t="s">
        <v>43</v>
      </c>
      <c r="O5" s="9" t="s">
        <v>43</v>
      </c>
      <c r="P5" s="9" t="s">
        <v>46</v>
      </c>
      <c r="Q5" s="9" t="s">
        <v>46</v>
      </c>
      <c r="R5" s="9" t="s">
        <v>45</v>
      </c>
      <c r="S5" s="9" t="s">
        <v>41</v>
      </c>
      <c r="T5" s="9" t="s">
        <v>41</v>
      </c>
      <c r="U5" s="9" t="s">
        <v>43</v>
      </c>
      <c r="V5" s="9" t="s">
        <v>41</v>
      </c>
      <c r="W5" s="9" t="s">
        <v>43</v>
      </c>
      <c r="X5" s="9" t="s">
        <v>46</v>
      </c>
      <c r="Y5" s="9" t="s">
        <v>47</v>
      </c>
      <c r="Z5" s="9" t="s">
        <v>40</v>
      </c>
      <c r="AA5" s="9" t="s">
        <v>45</v>
      </c>
    </row>
    <row r="6" spans="1:46" x14ac:dyDescent="0.3">
      <c r="D6" s="16">
        <v>10</v>
      </c>
      <c r="E6" s="16">
        <v>15</v>
      </c>
      <c r="F6" s="16">
        <v>200</v>
      </c>
      <c r="G6" s="16">
        <v>400</v>
      </c>
      <c r="H6" s="16">
        <v>126</v>
      </c>
      <c r="I6" s="16">
        <v>406</v>
      </c>
      <c r="J6" s="16">
        <v>10.34</v>
      </c>
      <c r="K6" s="16">
        <v>15.09</v>
      </c>
      <c r="L6" s="16">
        <v>2</v>
      </c>
      <c r="M6" s="16">
        <v>3</v>
      </c>
      <c r="N6" s="16">
        <v>3</v>
      </c>
      <c r="O6" s="16">
        <v>4.5</v>
      </c>
      <c r="P6" s="16">
        <v>6</v>
      </c>
      <c r="Q6" s="16">
        <v>6.5</v>
      </c>
      <c r="R6" s="16">
        <v>8.2100000000000009</v>
      </c>
      <c r="S6" s="16">
        <v>4.74</v>
      </c>
      <c r="T6" s="16">
        <v>15</v>
      </c>
      <c r="U6" s="16">
        <v>22.5</v>
      </c>
      <c r="V6" s="16">
        <v>30</v>
      </c>
      <c r="W6" s="16">
        <v>45</v>
      </c>
      <c r="X6" s="16">
        <v>6.5</v>
      </c>
      <c r="Y6" s="16">
        <v>9</v>
      </c>
    </row>
    <row r="7" spans="1:46" s="13" customFormat="1" x14ac:dyDescent="0.3"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46" s="13" customFormat="1" x14ac:dyDescent="0.3"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46" s="13" customFormat="1" x14ac:dyDescent="0.3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s="13" customFormat="1" x14ac:dyDescent="0.3"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46" s="13" customFormat="1" x14ac:dyDescent="0.3">
      <c r="A11" s="13" t="s">
        <v>2441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46" s="13" customFormat="1" x14ac:dyDescent="0.3">
      <c r="A12" s="13" t="s">
        <v>1046</v>
      </c>
      <c r="D12" s="13">
        <v>3.9</v>
      </c>
      <c r="E12" s="13">
        <v>4.5999999999999996</v>
      </c>
      <c r="M12" s="13">
        <v>0.7</v>
      </c>
      <c r="O12" s="13">
        <v>2.7</v>
      </c>
      <c r="P12" s="13">
        <v>8.1999999999999993</v>
      </c>
      <c r="T12" s="13">
        <v>8.4</v>
      </c>
      <c r="U12" s="13">
        <v>9.56</v>
      </c>
      <c r="X12" s="13">
        <v>6.95</v>
      </c>
      <c r="Y12" s="13">
        <v>7.42</v>
      </c>
      <c r="Z12" s="13">
        <v>7.08</v>
      </c>
      <c r="AA12" s="13">
        <v>9.6300000000000008</v>
      </c>
    </row>
    <row r="13" spans="1:46" s="13" customFormat="1" x14ac:dyDescent="0.3">
      <c r="A13" s="13" t="s">
        <v>1064</v>
      </c>
      <c r="D13" s="13">
        <v>3.2</v>
      </c>
      <c r="E13" s="13">
        <v>3.8</v>
      </c>
      <c r="M13" s="13">
        <v>0.1</v>
      </c>
      <c r="O13" s="13">
        <v>0.2</v>
      </c>
      <c r="P13" s="13">
        <v>7.87</v>
      </c>
      <c r="T13" s="13">
        <v>8</v>
      </c>
      <c r="U13" s="13">
        <v>9.6</v>
      </c>
      <c r="X13" s="13">
        <v>7.02</v>
      </c>
      <c r="Y13" s="13">
        <v>7.32</v>
      </c>
      <c r="Z13" s="13">
        <v>8.9</v>
      </c>
      <c r="AA13" s="13">
        <v>11.2</v>
      </c>
    </row>
    <row r="14" spans="1:46" s="13" customFormat="1" x14ac:dyDescent="0.3"/>
    <row r="15" spans="1:46" s="13" customFormat="1" x14ac:dyDescent="0.3">
      <c r="A15" s="13" t="s">
        <v>1028</v>
      </c>
      <c r="D15" s="13">
        <v>3.7</v>
      </c>
      <c r="E15" s="13">
        <v>3.7</v>
      </c>
      <c r="F15" s="13">
        <v>60</v>
      </c>
      <c r="L15" s="13">
        <v>0.46899999999999997</v>
      </c>
      <c r="N15" s="13">
        <v>0.61</v>
      </c>
      <c r="Q15" s="13">
        <v>8</v>
      </c>
      <c r="V15" s="13">
        <v>13.4</v>
      </c>
      <c r="W15" s="13">
        <v>13.9</v>
      </c>
      <c r="X15" s="13">
        <v>7.1</v>
      </c>
      <c r="Y15" s="13">
        <v>7.5</v>
      </c>
      <c r="Z15" s="13">
        <v>3.14</v>
      </c>
      <c r="AA15" s="13">
        <v>3.5653999999999999</v>
      </c>
    </row>
    <row r="16" spans="1:46" s="13" customFormat="1" x14ac:dyDescent="0.3">
      <c r="A16" s="13" t="s">
        <v>1035</v>
      </c>
      <c r="D16" s="13">
        <v>2.2999999999999998</v>
      </c>
      <c r="E16" s="13">
        <v>2.2999999999999998</v>
      </c>
      <c r="L16" s="13">
        <v>0.03</v>
      </c>
      <c r="N16" s="13">
        <v>0.03</v>
      </c>
      <c r="Q16" s="13">
        <v>9.3000000000000007</v>
      </c>
      <c r="V16" s="13">
        <v>7.1</v>
      </c>
      <c r="W16" s="13">
        <v>7.1</v>
      </c>
      <c r="X16" s="13">
        <v>7.3</v>
      </c>
      <c r="Y16" s="13">
        <v>7.5</v>
      </c>
      <c r="Z16" s="13">
        <v>2.1</v>
      </c>
      <c r="AA16" s="13">
        <v>3.4</v>
      </c>
    </row>
    <row r="17" spans="1:27" s="13" customFormat="1" x14ac:dyDescent="0.3">
      <c r="A17" s="13" t="s">
        <v>1039</v>
      </c>
      <c r="D17" s="13">
        <v>2.5</v>
      </c>
      <c r="E17" s="13">
        <v>2.6</v>
      </c>
      <c r="M17" s="13">
        <v>0.03</v>
      </c>
      <c r="O17" s="13">
        <v>0.03</v>
      </c>
      <c r="P17" s="13">
        <v>9.4</v>
      </c>
      <c r="V17" s="13">
        <v>7.9</v>
      </c>
      <c r="W17" s="13">
        <v>9.3000000000000007</v>
      </c>
      <c r="X17" s="13">
        <v>7.3</v>
      </c>
      <c r="Y17" s="13">
        <v>7.4</v>
      </c>
      <c r="Z17" s="13">
        <v>2.6</v>
      </c>
      <c r="AA17" s="13">
        <v>3.4</v>
      </c>
    </row>
    <row r="18" spans="1:27" s="13" customFormat="1" x14ac:dyDescent="0.3">
      <c r="A18" s="12" t="s">
        <v>1046</v>
      </c>
      <c r="D18" s="13" t="s">
        <v>1234</v>
      </c>
      <c r="E18" s="13" t="s">
        <v>1234</v>
      </c>
      <c r="M18" s="13" t="s">
        <v>1234</v>
      </c>
      <c r="O18" s="13" t="s">
        <v>1234</v>
      </c>
      <c r="P18" s="13" t="s">
        <v>1234</v>
      </c>
      <c r="V18" s="13" t="s">
        <v>1234</v>
      </c>
      <c r="W18" s="13" t="s">
        <v>1234</v>
      </c>
      <c r="X18" s="13" t="s">
        <v>1234</v>
      </c>
      <c r="Y18" s="13" t="s">
        <v>1234</v>
      </c>
      <c r="Z18" s="13" t="s">
        <v>1234</v>
      </c>
      <c r="AA18" s="13" t="s">
        <v>1234</v>
      </c>
    </row>
    <row r="19" spans="1:27" s="13" customFormat="1" x14ac:dyDescent="0.3">
      <c r="A19" s="13" t="s">
        <v>1052</v>
      </c>
      <c r="D19" s="13">
        <v>4.8</v>
      </c>
      <c r="E19" s="13">
        <v>5.3</v>
      </c>
      <c r="M19" s="13">
        <v>1.6</v>
      </c>
      <c r="O19" s="13">
        <v>2.6</v>
      </c>
      <c r="P19" s="13">
        <v>8</v>
      </c>
      <c r="V19" s="13">
        <v>10.5</v>
      </c>
      <c r="W19" s="13">
        <v>11</v>
      </c>
      <c r="X19" s="13">
        <v>7.1</v>
      </c>
      <c r="Y19" s="13">
        <v>7.4</v>
      </c>
      <c r="Z19" s="13">
        <v>3.4</v>
      </c>
      <c r="AA19" s="13">
        <v>4.8</v>
      </c>
    </row>
    <row r="20" spans="1:27" s="13" customFormat="1" x14ac:dyDescent="0.3">
      <c r="A20" s="13" t="s">
        <v>1059</v>
      </c>
      <c r="D20" s="13">
        <v>4.7</v>
      </c>
      <c r="E20" s="13">
        <v>4.7</v>
      </c>
      <c r="M20" s="13">
        <v>0.7</v>
      </c>
      <c r="O20" s="13">
        <v>0.7</v>
      </c>
      <c r="P20" s="13">
        <v>8.6999999999999993</v>
      </c>
      <c r="V20" s="13">
        <v>10.5</v>
      </c>
      <c r="W20" s="13">
        <v>11.2</v>
      </c>
      <c r="X20" s="13">
        <v>7</v>
      </c>
      <c r="Y20" s="13">
        <v>7.6</v>
      </c>
      <c r="Z20" s="13">
        <v>3</v>
      </c>
      <c r="AA20" s="13">
        <v>3.6</v>
      </c>
    </row>
    <row r="21" spans="1:27" s="13" customFormat="1" x14ac:dyDescent="0.3">
      <c r="A21" s="12" t="s">
        <v>1064</v>
      </c>
      <c r="D21" s="13" t="s">
        <v>1234</v>
      </c>
      <c r="E21" s="13" t="s">
        <v>1234</v>
      </c>
      <c r="M21" s="13" t="s">
        <v>1234</v>
      </c>
      <c r="O21" s="13" t="s">
        <v>1234</v>
      </c>
      <c r="P21" s="13" t="s">
        <v>1234</v>
      </c>
      <c r="V21" s="13" t="s">
        <v>1234</v>
      </c>
      <c r="W21" s="13" t="s">
        <v>1234</v>
      </c>
      <c r="X21" s="13" t="s">
        <v>1234</v>
      </c>
      <c r="Y21" s="13" t="s">
        <v>1234</v>
      </c>
      <c r="Z21" s="13" t="s">
        <v>1234</v>
      </c>
      <c r="AA21" s="13" t="s">
        <v>1234</v>
      </c>
    </row>
    <row r="22" spans="1:27" s="13" customFormat="1" x14ac:dyDescent="0.3">
      <c r="A22" s="13" t="s">
        <v>1069</v>
      </c>
      <c r="D22" s="13">
        <v>4.7</v>
      </c>
      <c r="E22" s="13">
        <v>4.8</v>
      </c>
      <c r="L22" s="13">
        <v>7.0000000000000007E-2</v>
      </c>
      <c r="N22" s="13">
        <v>0.09</v>
      </c>
      <c r="Q22" s="13">
        <v>8.8000000000000007</v>
      </c>
      <c r="V22" s="13">
        <v>12.2</v>
      </c>
      <c r="W22" s="13">
        <v>14.7</v>
      </c>
      <c r="X22" s="13">
        <v>7</v>
      </c>
      <c r="Y22" s="13">
        <v>7.3</v>
      </c>
      <c r="Z22" s="13">
        <v>3.2</v>
      </c>
      <c r="AA22" s="13">
        <v>3.8</v>
      </c>
    </row>
    <row r="23" spans="1:27" s="13" customFormat="1" x14ac:dyDescent="0.3">
      <c r="A23" s="13" t="s">
        <v>1073</v>
      </c>
      <c r="D23" s="13">
        <v>4.8</v>
      </c>
      <c r="E23" s="13">
        <v>4.9000000000000004</v>
      </c>
      <c r="F23" s="13">
        <v>12</v>
      </c>
      <c r="G23" s="13">
        <v>15</v>
      </c>
      <c r="L23" s="13">
        <v>0.2</v>
      </c>
      <c r="N23" s="13">
        <v>0.41</v>
      </c>
      <c r="Q23" s="13">
        <v>6.8</v>
      </c>
      <c r="V23" s="13">
        <v>13.7</v>
      </c>
      <c r="W23" s="13">
        <v>15.8</v>
      </c>
      <c r="X23" s="13">
        <v>7</v>
      </c>
      <c r="Y23" s="13">
        <v>7.4</v>
      </c>
      <c r="Z23" s="13">
        <v>2.5</v>
      </c>
      <c r="AA23" s="13">
        <v>3.3</v>
      </c>
    </row>
    <row r="24" spans="1:27" s="13" customFormat="1" x14ac:dyDescent="0.3">
      <c r="A24" s="13" t="s">
        <v>1079</v>
      </c>
      <c r="D24" s="13">
        <v>3.4</v>
      </c>
      <c r="E24" s="13">
        <v>4</v>
      </c>
      <c r="F24" s="13">
        <v>29</v>
      </c>
      <c r="G24" s="13">
        <v>44</v>
      </c>
      <c r="L24" s="13">
        <v>0.39</v>
      </c>
      <c r="N24" s="13">
        <v>0.84</v>
      </c>
      <c r="Q24" s="13">
        <v>6.7</v>
      </c>
      <c r="V24" s="13">
        <v>11.5</v>
      </c>
      <c r="W24" s="13">
        <v>12</v>
      </c>
      <c r="X24" s="13">
        <v>7</v>
      </c>
      <c r="Y24" s="13">
        <v>7.4</v>
      </c>
      <c r="Z24" s="13">
        <v>2.8</v>
      </c>
      <c r="AA24" s="13">
        <v>3.4</v>
      </c>
    </row>
    <row r="25" spans="1:27" s="13" customFormat="1" x14ac:dyDescent="0.3">
      <c r="A25" s="13" t="s">
        <v>1084</v>
      </c>
      <c r="D25" s="13">
        <v>3.2</v>
      </c>
      <c r="E25" s="13">
        <v>3.7</v>
      </c>
      <c r="F25" s="13">
        <v>40</v>
      </c>
      <c r="G25" s="13">
        <v>73</v>
      </c>
      <c r="L25" s="13">
        <v>0.05</v>
      </c>
      <c r="N25" s="13">
        <v>7.0000000000000007E-2</v>
      </c>
      <c r="Q25" s="13">
        <v>8.6999999999999993</v>
      </c>
      <c r="V25" s="13">
        <v>12</v>
      </c>
      <c r="W25" s="13">
        <v>13.7</v>
      </c>
      <c r="X25" s="13">
        <v>7.1</v>
      </c>
      <c r="Y25" s="13">
        <v>7.7</v>
      </c>
      <c r="Z25" s="13">
        <v>3.1</v>
      </c>
      <c r="AA25" s="13">
        <v>3.5</v>
      </c>
    </row>
    <row r="26" spans="1:27" s="13" customFormat="1" x14ac:dyDescent="0.3">
      <c r="A26" s="13" t="s">
        <v>1089</v>
      </c>
      <c r="D26" s="13">
        <v>2.5</v>
      </c>
      <c r="E26" s="13">
        <v>3.3</v>
      </c>
      <c r="F26" s="13">
        <v>30</v>
      </c>
      <c r="G26" s="13">
        <v>67</v>
      </c>
      <c r="L26" s="13">
        <v>0.04</v>
      </c>
      <c r="N26" s="13">
        <v>0.06</v>
      </c>
      <c r="Q26" s="13">
        <v>8</v>
      </c>
      <c r="V26" s="13">
        <v>7.9</v>
      </c>
      <c r="W26" s="13">
        <v>9.5</v>
      </c>
      <c r="X26" s="13">
        <v>7</v>
      </c>
      <c r="Y26" s="13">
        <v>7.5</v>
      </c>
      <c r="Z26" s="13">
        <v>3.1</v>
      </c>
      <c r="AA26" s="13">
        <v>3.5</v>
      </c>
    </row>
    <row r="27" spans="1:27" s="13" customFormat="1" x14ac:dyDescent="0.3"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7" s="13" customFormat="1" x14ac:dyDescent="0.3"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7" s="13" customFormat="1" x14ac:dyDescent="0.3">
      <c r="A29" s="13" t="s">
        <v>1095</v>
      </c>
      <c r="C29" s="9"/>
      <c r="D29" s="13">
        <v>2.2999999999999998</v>
      </c>
      <c r="E29" s="13">
        <v>2.2999999999999998</v>
      </c>
      <c r="F29" s="13">
        <v>44</v>
      </c>
      <c r="G29" s="13">
        <v>87</v>
      </c>
      <c r="J29"/>
      <c r="L29" s="13">
        <v>0.06</v>
      </c>
      <c r="N29" s="13">
        <v>0.06</v>
      </c>
      <c r="Q29" s="13">
        <v>8.9</v>
      </c>
      <c r="R29"/>
      <c r="S29"/>
      <c r="T29"/>
      <c r="V29" s="13">
        <v>6.3</v>
      </c>
      <c r="W29" s="13">
        <v>6.3</v>
      </c>
      <c r="X29" s="13">
        <v>7.4</v>
      </c>
      <c r="Y29" s="13">
        <v>7.4</v>
      </c>
      <c r="Z29" s="13">
        <v>2.2999999999999998</v>
      </c>
      <c r="AA29" s="13">
        <v>3.6</v>
      </c>
    </row>
    <row r="30" spans="1:27" s="13" customFormat="1" x14ac:dyDescent="0.3">
      <c r="A30" s="13" t="s">
        <v>1101</v>
      </c>
      <c r="C30" s="9"/>
      <c r="D30" s="13">
        <v>2.8</v>
      </c>
      <c r="E30" s="13">
        <v>3.2</v>
      </c>
      <c r="J30"/>
      <c r="L30" s="13">
        <v>0.7</v>
      </c>
      <c r="N30" s="13">
        <v>2.1</v>
      </c>
      <c r="Q30" s="13">
        <v>7.2</v>
      </c>
      <c r="R30"/>
      <c r="S30"/>
      <c r="T30"/>
      <c r="V30" s="13">
        <v>6.7</v>
      </c>
      <c r="W30" s="13">
        <v>7.5</v>
      </c>
      <c r="X30" s="13">
        <v>7</v>
      </c>
      <c r="Y30" s="13">
        <v>7.4</v>
      </c>
      <c r="Z30" s="13">
        <v>0.15</v>
      </c>
      <c r="AA30" s="13">
        <v>1.7</v>
      </c>
    </row>
    <row r="31" spans="1:27" s="13" customFormat="1" x14ac:dyDescent="0.3">
      <c r="A31" s="13" t="s">
        <v>1106</v>
      </c>
      <c r="C31" s="9"/>
      <c r="D31" s="13">
        <v>4.3</v>
      </c>
      <c r="E31" s="13">
        <v>5.7</v>
      </c>
      <c r="J31"/>
      <c r="M31" s="13">
        <v>0.6</v>
      </c>
      <c r="O31" s="13">
        <v>1.3</v>
      </c>
      <c r="P31" s="13">
        <v>7.25</v>
      </c>
      <c r="R31"/>
      <c r="S31"/>
      <c r="T31"/>
      <c r="V31" s="13">
        <v>10.7</v>
      </c>
      <c r="W31" s="13">
        <v>12.4</v>
      </c>
      <c r="X31" s="13">
        <v>7.1</v>
      </c>
      <c r="Y31" s="13">
        <v>7.5</v>
      </c>
      <c r="Z31" s="13">
        <v>1.4</v>
      </c>
      <c r="AA31" s="13">
        <v>3.6</v>
      </c>
    </row>
    <row r="32" spans="1:27" s="13" customFormat="1" x14ac:dyDescent="0.3">
      <c r="A32" s="13" t="s">
        <v>1110</v>
      </c>
      <c r="C32" s="9"/>
      <c r="D32" s="13">
        <v>5.7</v>
      </c>
      <c r="E32" s="13">
        <v>7</v>
      </c>
      <c r="J32"/>
      <c r="M32" s="13">
        <v>0.5</v>
      </c>
      <c r="O32" s="13">
        <v>1.2</v>
      </c>
      <c r="P32" s="13">
        <v>7</v>
      </c>
      <c r="R32"/>
      <c r="S32"/>
      <c r="T32"/>
      <c r="V32" s="13">
        <v>14.5</v>
      </c>
      <c r="W32" s="13">
        <v>17.7</v>
      </c>
      <c r="X32" s="13">
        <v>6.82</v>
      </c>
      <c r="Y32" s="13">
        <v>7.4</v>
      </c>
      <c r="Z32" s="13">
        <v>0.02</v>
      </c>
      <c r="AA32" s="13">
        <v>0.04</v>
      </c>
    </row>
    <row r="33" spans="1:27" s="13" customFormat="1" x14ac:dyDescent="0.3">
      <c r="A33" s="13" t="s">
        <v>1117</v>
      </c>
      <c r="C33" s="9"/>
      <c r="D33" s="13">
        <v>5.2</v>
      </c>
      <c r="E33" s="13">
        <v>5.9</v>
      </c>
      <c r="J33"/>
      <c r="M33" s="13">
        <v>1.2</v>
      </c>
      <c r="O33" s="13">
        <v>1.9</v>
      </c>
      <c r="P33" s="13">
        <v>6.5</v>
      </c>
      <c r="R33"/>
      <c r="S33"/>
      <c r="T33"/>
      <c r="V33" s="13">
        <v>13.5</v>
      </c>
      <c r="W33" s="13">
        <v>14.1</v>
      </c>
      <c r="X33" s="13">
        <v>6.7</v>
      </c>
      <c r="Y33" s="13">
        <v>7.4</v>
      </c>
      <c r="Z33" s="13">
        <v>0.3</v>
      </c>
      <c r="AA33" s="13">
        <v>3.5</v>
      </c>
    </row>
    <row r="34" spans="1:27" s="13" customFormat="1" x14ac:dyDescent="0.3">
      <c r="A34" s="13" t="s">
        <v>1123</v>
      </c>
      <c r="C34" s="9"/>
      <c r="D34" s="13">
        <v>5.8</v>
      </c>
      <c r="E34" s="13">
        <v>6.2</v>
      </c>
      <c r="J34"/>
      <c r="M34" s="13">
        <v>0.7</v>
      </c>
      <c r="O34" s="13">
        <v>0.9</v>
      </c>
      <c r="P34" s="13">
        <v>7.8</v>
      </c>
      <c r="R34"/>
      <c r="S34"/>
      <c r="T34"/>
      <c r="V34" s="13">
        <v>14.6</v>
      </c>
      <c r="W34" s="13">
        <v>15</v>
      </c>
      <c r="X34" s="13">
        <v>6.9</v>
      </c>
      <c r="Y34" s="13">
        <v>7.2</v>
      </c>
      <c r="Z34" s="13">
        <v>7.0000000000000007E-2</v>
      </c>
      <c r="AA34" s="13">
        <v>0.08</v>
      </c>
    </row>
    <row r="35" spans="1:27" s="13" customFormat="1" x14ac:dyDescent="0.3">
      <c r="A35" s="13" t="s">
        <v>1127</v>
      </c>
      <c r="C35" s="9"/>
      <c r="D35" s="13">
        <v>6.1</v>
      </c>
      <c r="E35" s="13">
        <v>7.6</v>
      </c>
      <c r="J35"/>
      <c r="M35" s="13">
        <v>2</v>
      </c>
      <c r="O35" s="1">
        <v>4.55</v>
      </c>
      <c r="P35" s="13">
        <v>6.6</v>
      </c>
      <c r="R35"/>
      <c r="S35"/>
      <c r="T35"/>
      <c r="V35" s="13">
        <v>14.7</v>
      </c>
      <c r="W35" s="13">
        <v>19.899999999999999</v>
      </c>
      <c r="X35" s="13">
        <v>6.7</v>
      </c>
      <c r="Y35" s="13">
        <v>7.4</v>
      </c>
      <c r="Z35" s="13">
        <v>0.03</v>
      </c>
      <c r="AA35" s="13">
        <v>3.6</v>
      </c>
    </row>
    <row r="36" spans="1:27" s="13" customFormat="1" x14ac:dyDescent="0.3">
      <c r="A36" s="13" t="s">
        <v>1134</v>
      </c>
      <c r="C36" s="9"/>
      <c r="D36" s="13">
        <v>4.8</v>
      </c>
      <c r="E36" s="13">
        <v>5.5</v>
      </c>
      <c r="J36"/>
      <c r="L36" s="1">
        <v>4.8</v>
      </c>
      <c r="N36" s="1">
        <v>6.2</v>
      </c>
      <c r="Q36" s="13">
        <v>6.6</v>
      </c>
      <c r="R36"/>
      <c r="S36"/>
      <c r="T36"/>
      <c r="V36" s="13">
        <v>23.6</v>
      </c>
      <c r="W36" s="13">
        <v>33.5</v>
      </c>
      <c r="X36" s="13">
        <v>7</v>
      </c>
      <c r="Y36" s="13">
        <v>7.5</v>
      </c>
      <c r="Z36" s="13">
        <v>0.4</v>
      </c>
      <c r="AA36" s="13">
        <v>3.5</v>
      </c>
    </row>
    <row r="37" spans="1:27" s="13" customFormat="1" x14ac:dyDescent="0.3">
      <c r="A37" s="13" t="s">
        <v>1140</v>
      </c>
      <c r="C37" s="9"/>
      <c r="D37" s="13">
        <v>3.2</v>
      </c>
      <c r="E37" s="13">
        <v>3.6</v>
      </c>
      <c r="F37" s="13">
        <v>15</v>
      </c>
      <c r="G37" s="13">
        <v>48</v>
      </c>
      <c r="J37"/>
      <c r="L37" s="13">
        <v>0.2</v>
      </c>
      <c r="N37" s="13">
        <v>0.5</v>
      </c>
      <c r="Q37" s="13">
        <v>6.6</v>
      </c>
      <c r="R37"/>
      <c r="S37"/>
      <c r="T37"/>
      <c r="V37" s="13">
        <v>11.6</v>
      </c>
      <c r="W37" s="13">
        <v>12.1</v>
      </c>
      <c r="X37" s="13">
        <v>7</v>
      </c>
      <c r="Y37" s="13">
        <v>7.7</v>
      </c>
      <c r="Z37" s="13">
        <v>0.06</v>
      </c>
      <c r="AA37" s="13">
        <v>0.1</v>
      </c>
    </row>
    <row r="38" spans="1:27" s="13" customFormat="1" x14ac:dyDescent="0.3">
      <c r="A38" s="13" t="s">
        <v>1144</v>
      </c>
      <c r="C38" s="9"/>
      <c r="D38" s="13">
        <v>4</v>
      </c>
      <c r="E38" s="13">
        <v>5.5</v>
      </c>
      <c r="F38" s="13">
        <v>40</v>
      </c>
      <c r="G38" s="13">
        <v>215</v>
      </c>
      <c r="J38"/>
      <c r="L38" s="13">
        <v>1.1000000000000001</v>
      </c>
      <c r="N38" s="13">
        <v>2.1</v>
      </c>
      <c r="Q38" s="13">
        <v>6.6</v>
      </c>
      <c r="R38"/>
      <c r="S38"/>
      <c r="T38"/>
      <c r="V38" s="13">
        <v>11.5</v>
      </c>
      <c r="W38" s="13">
        <v>14.7</v>
      </c>
      <c r="X38" s="13">
        <v>7</v>
      </c>
      <c r="Y38" s="13">
        <v>7.8</v>
      </c>
      <c r="Z38" s="13">
        <v>1.7</v>
      </c>
      <c r="AA38" s="13">
        <v>4.0999999999999996</v>
      </c>
    </row>
    <row r="39" spans="1:27" s="13" customFormat="1" x14ac:dyDescent="0.3">
      <c r="A39" s="13" t="s">
        <v>1151</v>
      </c>
      <c r="C39" s="9"/>
      <c r="D39" s="8">
        <v>9.6</v>
      </c>
      <c r="E39" s="13">
        <v>11.6</v>
      </c>
      <c r="F39" s="1">
        <v>1251</v>
      </c>
      <c r="G39" s="1">
        <v>4840</v>
      </c>
      <c r="J39"/>
      <c r="L39" s="1">
        <v>15.7</v>
      </c>
      <c r="N39" s="1">
        <v>19</v>
      </c>
      <c r="Q39" s="13">
        <v>7.1</v>
      </c>
      <c r="R39"/>
      <c r="S39"/>
      <c r="T39"/>
      <c r="V39" s="1">
        <v>89</v>
      </c>
      <c r="W39" s="1">
        <v>205.6</v>
      </c>
      <c r="X39" s="13">
        <v>6.8</v>
      </c>
      <c r="Y39" s="13">
        <v>7.8</v>
      </c>
      <c r="Z39" s="13">
        <v>2.4</v>
      </c>
      <c r="AA39" s="13">
        <v>3.9</v>
      </c>
    </row>
    <row r="40" spans="1:27" s="13" customFormat="1" x14ac:dyDescent="0.3">
      <c r="A40" s="13" t="s">
        <v>1159</v>
      </c>
      <c r="C40" s="9"/>
      <c r="D40" s="13">
        <v>5.9</v>
      </c>
      <c r="E40" s="13">
        <v>7.3</v>
      </c>
      <c r="F40" s="1">
        <v>1747</v>
      </c>
      <c r="G40" s="1">
        <v>2420</v>
      </c>
      <c r="J40"/>
      <c r="L40" s="1">
        <v>15.2</v>
      </c>
      <c r="N40" s="1">
        <v>22.8</v>
      </c>
      <c r="Q40" s="13">
        <v>6.6</v>
      </c>
      <c r="R40"/>
      <c r="S40"/>
      <c r="T40"/>
      <c r="V40" s="13">
        <v>20.7</v>
      </c>
      <c r="W40" s="13">
        <v>24.8</v>
      </c>
      <c r="X40" s="13">
        <v>7.1</v>
      </c>
      <c r="Y40" s="13">
        <v>8.1999999999999993</v>
      </c>
      <c r="Z40" s="13">
        <v>1.3</v>
      </c>
      <c r="AA40" s="13">
        <v>3.5</v>
      </c>
    </row>
    <row r="41" spans="1:27" s="13" customFormat="1" x14ac:dyDescent="0.3"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3" spans="1:27" x14ac:dyDescent="0.3">
      <c r="A43" s="9" t="s">
        <v>1166</v>
      </c>
      <c r="D43" s="9">
        <v>9.1</v>
      </c>
      <c r="E43" s="9">
        <v>13.4</v>
      </c>
      <c r="F43" s="9">
        <v>50</v>
      </c>
      <c r="G43" s="1">
        <v>2420</v>
      </c>
      <c r="H43" s="9"/>
      <c r="I43" s="9"/>
      <c r="J43" s="9"/>
      <c r="K43" s="9"/>
      <c r="L43" s="1">
        <v>9</v>
      </c>
      <c r="M43" s="9"/>
      <c r="N43" s="1">
        <v>14.8</v>
      </c>
      <c r="O43" s="9"/>
      <c r="P43" s="9"/>
      <c r="Q43" s="9">
        <v>6.6</v>
      </c>
      <c r="R43" s="9"/>
      <c r="S43" s="9"/>
      <c r="T43" s="9"/>
      <c r="U43" s="9"/>
      <c r="V43" s="1">
        <v>70.8</v>
      </c>
      <c r="W43" s="1">
        <v>142.30000000000001</v>
      </c>
      <c r="X43" s="9">
        <v>7.4</v>
      </c>
      <c r="Y43" s="9">
        <v>7.8</v>
      </c>
      <c r="Z43" s="9">
        <v>1.9E-2</v>
      </c>
      <c r="AA43" s="9">
        <v>0.186</v>
      </c>
    </row>
    <row r="44" spans="1:27" x14ac:dyDescent="0.3">
      <c r="A44" s="9" t="s">
        <v>1172</v>
      </c>
      <c r="D44" s="9">
        <v>7.4</v>
      </c>
      <c r="E44" s="9">
        <v>8.9</v>
      </c>
      <c r="F44" s="9"/>
      <c r="G44" s="9"/>
      <c r="H44" s="9"/>
      <c r="I44" s="9"/>
      <c r="J44" s="9"/>
      <c r="K44" s="9"/>
      <c r="L44" s="1">
        <v>6.3</v>
      </c>
      <c r="M44" s="9"/>
      <c r="N44" s="1">
        <v>16.8</v>
      </c>
      <c r="O44" s="9"/>
      <c r="P44" s="9"/>
      <c r="Q44" s="9">
        <v>6.7</v>
      </c>
      <c r="R44" s="9"/>
      <c r="S44" s="9"/>
      <c r="T44" s="9"/>
      <c r="U44" s="9"/>
      <c r="V44" s="1">
        <v>76.3</v>
      </c>
      <c r="W44" s="1">
        <v>153.80000000000001</v>
      </c>
      <c r="X44" s="9">
        <v>7.4</v>
      </c>
      <c r="Y44" s="9">
        <v>8</v>
      </c>
      <c r="Z44" s="9">
        <v>1.7</v>
      </c>
      <c r="AA44" s="9">
        <v>3.5</v>
      </c>
    </row>
    <row r="45" spans="1:27" x14ac:dyDescent="0.3">
      <c r="A45" s="9" t="s">
        <v>1181</v>
      </c>
      <c r="D45" s="1">
        <v>13.9</v>
      </c>
      <c r="E45" s="1">
        <v>16.600000000000001</v>
      </c>
      <c r="F45" s="9"/>
      <c r="G45" s="9"/>
      <c r="H45" s="9"/>
      <c r="I45" s="9"/>
      <c r="J45" s="9"/>
      <c r="K45" s="9"/>
      <c r="L45" s="9"/>
      <c r="M45" s="1">
        <v>13.6</v>
      </c>
      <c r="N45" s="9"/>
      <c r="O45" s="1">
        <v>20.399999999999999</v>
      </c>
      <c r="P45" s="9">
        <v>6.01</v>
      </c>
      <c r="Q45" s="9"/>
      <c r="R45" s="9"/>
      <c r="S45" s="9"/>
      <c r="T45" s="9"/>
      <c r="U45" s="9"/>
      <c r="V45" s="1">
        <v>265.8</v>
      </c>
      <c r="W45" s="1">
        <v>339</v>
      </c>
      <c r="X45" s="9">
        <v>7.7</v>
      </c>
      <c r="Y45" s="9">
        <v>8</v>
      </c>
      <c r="Z45" s="9">
        <v>4.4999999999999998E-2</v>
      </c>
      <c r="AA45" s="9">
        <v>0.09</v>
      </c>
    </row>
    <row r="46" spans="1:27" x14ac:dyDescent="0.3">
      <c r="A46" s="9" t="s">
        <v>1203</v>
      </c>
      <c r="D46" s="1">
        <v>21.6</v>
      </c>
      <c r="E46" s="1">
        <v>40.4</v>
      </c>
      <c r="F46" s="9"/>
      <c r="G46" s="9"/>
      <c r="H46" s="9"/>
      <c r="I46" s="9"/>
      <c r="J46" s="9"/>
      <c r="K46" s="9"/>
      <c r="L46" s="9"/>
      <c r="M46" s="1">
        <v>24.6</v>
      </c>
      <c r="N46" s="9"/>
      <c r="O46" s="1">
        <v>27.2</v>
      </c>
      <c r="P46" s="9">
        <v>6.3</v>
      </c>
      <c r="Q46" s="9"/>
      <c r="R46" s="9"/>
      <c r="S46" s="9"/>
      <c r="T46" s="9"/>
      <c r="U46" s="9"/>
      <c r="V46" s="1">
        <v>121.7</v>
      </c>
      <c r="W46" s="1">
        <v>262.39999999999998</v>
      </c>
      <c r="X46" s="9">
        <v>7</v>
      </c>
      <c r="Y46" s="9">
        <v>8</v>
      </c>
      <c r="Z46" s="9">
        <v>0.63</v>
      </c>
      <c r="AA46" s="9">
        <v>3.3</v>
      </c>
    </row>
    <row r="47" spans="1:27" x14ac:dyDescent="0.3">
      <c r="A47" s="9" t="s">
        <v>2298</v>
      </c>
      <c r="D47" s="1">
        <v>12.7</v>
      </c>
      <c r="E47" s="1">
        <v>16.600000000000001</v>
      </c>
      <c r="F47" s="9"/>
      <c r="G47" s="9"/>
      <c r="H47" s="9"/>
      <c r="I47" s="9"/>
      <c r="J47" s="9"/>
      <c r="K47" s="9"/>
      <c r="L47" s="9"/>
      <c r="M47" s="1">
        <v>19.5</v>
      </c>
      <c r="N47" s="9"/>
      <c r="O47" s="1">
        <v>25.1</v>
      </c>
      <c r="P47" s="9">
        <v>6.2</v>
      </c>
      <c r="Q47" s="9"/>
      <c r="R47" s="9"/>
      <c r="S47" s="9"/>
      <c r="T47" s="9"/>
      <c r="U47" s="9"/>
      <c r="V47" s="1">
        <v>137.5</v>
      </c>
      <c r="W47" s="1">
        <v>199.3</v>
      </c>
      <c r="X47" s="9">
        <v>7.3</v>
      </c>
      <c r="Y47" s="9">
        <v>8</v>
      </c>
      <c r="Z47" s="9">
        <v>0.19</v>
      </c>
      <c r="AA47" s="9">
        <v>3.18</v>
      </c>
    </row>
    <row r="48" spans="1:27" x14ac:dyDescent="0.3">
      <c r="A48" s="9" t="s">
        <v>2299</v>
      </c>
      <c r="D48" s="9">
        <v>7.4</v>
      </c>
      <c r="E48" s="9">
        <v>8.8000000000000007</v>
      </c>
      <c r="F48" s="9"/>
      <c r="G48" s="9"/>
      <c r="H48" s="9"/>
      <c r="I48" s="9"/>
      <c r="J48" s="9"/>
      <c r="K48" s="9"/>
      <c r="L48" s="9"/>
      <c r="M48" s="1">
        <v>15.5</v>
      </c>
      <c r="N48" s="9"/>
      <c r="O48" s="1">
        <v>17.3</v>
      </c>
      <c r="P48" s="9">
        <v>8.9</v>
      </c>
      <c r="Q48" s="9"/>
      <c r="R48" s="9"/>
      <c r="S48" s="9"/>
      <c r="T48" s="9"/>
      <c r="U48" s="9"/>
      <c r="V48" s="1">
        <v>72.599999999999994</v>
      </c>
      <c r="W48" s="1">
        <v>133.9</v>
      </c>
      <c r="X48" s="9">
        <v>7.5</v>
      </c>
      <c r="Y48" s="9">
        <v>7.8</v>
      </c>
      <c r="Z48" s="9">
        <v>5.0099999999999999E-2</v>
      </c>
      <c r="AA48" s="9">
        <v>6.8000000000000005E-2</v>
      </c>
    </row>
    <row r="49" spans="1:27" x14ac:dyDescent="0.3">
      <c r="A49" s="9" t="s">
        <v>2300</v>
      </c>
      <c r="D49" s="8">
        <v>9.6</v>
      </c>
      <c r="E49" s="9">
        <v>13.2</v>
      </c>
      <c r="F49" s="9"/>
      <c r="G49" s="9"/>
      <c r="H49" s="9"/>
      <c r="I49" s="9"/>
      <c r="J49" s="9"/>
      <c r="K49" s="9"/>
      <c r="L49" s="9"/>
      <c r="M49" s="1">
        <v>9.3000000000000007</v>
      </c>
      <c r="N49" s="9"/>
      <c r="O49" s="1">
        <v>19</v>
      </c>
      <c r="P49" s="9">
        <v>6.21</v>
      </c>
      <c r="Q49" s="9"/>
      <c r="R49" s="9"/>
      <c r="S49" s="9"/>
      <c r="T49" s="9"/>
      <c r="U49" s="9"/>
      <c r="V49" s="1">
        <v>155.30000000000001</v>
      </c>
      <c r="W49" s="1">
        <v>243.7</v>
      </c>
      <c r="X49" s="9">
        <v>7.26</v>
      </c>
      <c r="Y49" s="9">
        <v>7.72</v>
      </c>
      <c r="Z49" s="9">
        <v>0.27</v>
      </c>
      <c r="AA49" s="9">
        <v>3.22</v>
      </c>
    </row>
    <row r="50" spans="1:27" x14ac:dyDescent="0.3">
      <c r="A50" s="9" t="s">
        <v>2301</v>
      </c>
      <c r="D50" s="9">
        <v>6.7</v>
      </c>
      <c r="E50" s="9">
        <v>7.3</v>
      </c>
      <c r="F50" s="9"/>
      <c r="G50" s="9"/>
      <c r="H50" s="9"/>
      <c r="I50" s="9"/>
      <c r="J50" s="9"/>
      <c r="K50" s="9"/>
      <c r="L50" s="9">
        <v>0.9</v>
      </c>
      <c r="M50" s="9"/>
      <c r="N50" s="9"/>
      <c r="O50" s="9"/>
      <c r="P50" s="9"/>
      <c r="Q50" s="9">
        <v>7</v>
      </c>
      <c r="R50" s="9">
        <v>0</v>
      </c>
      <c r="S50" s="9">
        <v>0</v>
      </c>
      <c r="T50" s="1">
        <v>70.7</v>
      </c>
      <c r="U50" s="1">
        <v>117.2</v>
      </c>
      <c r="V50" s="9"/>
      <c r="W50" s="9"/>
      <c r="X50" s="9">
        <v>7.4</v>
      </c>
      <c r="Y50" s="9">
        <v>7.6</v>
      </c>
      <c r="Z50" s="9">
        <v>0.74</v>
      </c>
      <c r="AA50" s="9">
        <v>3.9</v>
      </c>
    </row>
    <row r="51" spans="1:27" x14ac:dyDescent="0.3">
      <c r="A51" s="9" t="s">
        <v>2302</v>
      </c>
      <c r="D51" s="9">
        <v>5.3</v>
      </c>
      <c r="E51" s="9">
        <v>6.3</v>
      </c>
      <c r="F51" s="9"/>
      <c r="G51" s="9"/>
      <c r="H51" s="9">
        <v>56</v>
      </c>
      <c r="I51" s="1">
        <v>2420</v>
      </c>
      <c r="J51" s="9"/>
      <c r="K51" s="9"/>
      <c r="L51" s="1">
        <v>2.4</v>
      </c>
      <c r="M51" s="9"/>
      <c r="N51" s="9"/>
      <c r="O51" s="9"/>
      <c r="P51" s="9"/>
      <c r="Q51" s="9">
        <v>6.9</v>
      </c>
      <c r="R51" s="9">
        <v>0</v>
      </c>
      <c r="S51" s="9">
        <v>0</v>
      </c>
      <c r="T51" s="1">
        <v>15.9</v>
      </c>
      <c r="U51" s="6">
        <v>19.100000000000001</v>
      </c>
      <c r="V51" s="9"/>
      <c r="W51" s="9"/>
      <c r="X51" s="9">
        <v>7.4</v>
      </c>
      <c r="Y51" s="9">
        <v>8</v>
      </c>
      <c r="Z51" s="9">
        <v>0.7</v>
      </c>
      <c r="AA51" s="9">
        <v>3.5</v>
      </c>
    </row>
    <row r="52" spans="1:27" x14ac:dyDescent="0.3">
      <c r="A52" s="9" t="s">
        <v>2303</v>
      </c>
      <c r="D52" s="9">
        <v>5.8</v>
      </c>
      <c r="E52" s="9">
        <v>6.8</v>
      </c>
      <c r="F52" s="9"/>
      <c r="G52" s="9"/>
      <c r="H52" s="1">
        <v>180</v>
      </c>
      <c r="I52" s="1">
        <v>1733</v>
      </c>
      <c r="J52" s="9"/>
      <c r="K52" s="9"/>
      <c r="L52" s="9">
        <v>1.3</v>
      </c>
      <c r="M52" s="9"/>
      <c r="N52" s="9"/>
      <c r="O52" s="9"/>
      <c r="P52" s="9"/>
      <c r="Q52" s="9">
        <v>8.1</v>
      </c>
      <c r="R52" s="9">
        <v>0</v>
      </c>
      <c r="S52" s="9">
        <v>0</v>
      </c>
      <c r="T52" s="1">
        <v>39.4</v>
      </c>
      <c r="U52" s="1">
        <v>77.2</v>
      </c>
      <c r="V52" s="9"/>
      <c r="W52" s="9"/>
      <c r="X52" s="9">
        <v>6.8</v>
      </c>
      <c r="Y52" s="9">
        <v>7.8</v>
      </c>
      <c r="Z52" s="9">
        <v>1.7</v>
      </c>
      <c r="AA52" s="9">
        <v>3.6</v>
      </c>
    </row>
    <row r="53" spans="1:27" x14ac:dyDescent="0.3">
      <c r="A53" s="9" t="s">
        <v>2304</v>
      </c>
      <c r="D53" s="9">
        <v>6.6</v>
      </c>
      <c r="E53" s="9">
        <v>6.8</v>
      </c>
      <c r="F53" s="9"/>
      <c r="G53" s="9"/>
      <c r="H53" s="1">
        <v>571</v>
      </c>
      <c r="I53" s="1">
        <v>2420</v>
      </c>
      <c r="J53" s="9"/>
      <c r="K53" s="9"/>
      <c r="L53" s="1">
        <v>3.9</v>
      </c>
      <c r="M53" s="9"/>
      <c r="N53" s="9"/>
      <c r="O53" s="9"/>
      <c r="P53" s="9"/>
      <c r="Q53" s="9">
        <v>7.3</v>
      </c>
      <c r="R53" s="9">
        <v>0</v>
      </c>
      <c r="S53" s="9">
        <v>0</v>
      </c>
      <c r="T53" s="1">
        <v>66.7</v>
      </c>
      <c r="U53" s="1">
        <v>285.8</v>
      </c>
      <c r="V53" s="9"/>
      <c r="W53" s="9"/>
      <c r="X53" s="9">
        <v>7.2</v>
      </c>
      <c r="Y53" s="9">
        <v>7.7</v>
      </c>
      <c r="Z53" s="9">
        <v>2.5</v>
      </c>
      <c r="AA53" s="9">
        <v>3.7</v>
      </c>
    </row>
    <row r="54" spans="1:27" x14ac:dyDescent="0.3">
      <c r="A54" s="9" t="s">
        <v>2305</v>
      </c>
      <c r="D54" s="9">
        <v>6.4</v>
      </c>
      <c r="E54" s="9">
        <v>7</v>
      </c>
      <c r="F54" s="9"/>
      <c r="G54" s="9"/>
      <c r="H54" s="1">
        <v>899</v>
      </c>
      <c r="I54" s="1">
        <v>2828</v>
      </c>
      <c r="J54" s="9"/>
      <c r="K54" s="9"/>
      <c r="L54" s="1">
        <v>2.1</v>
      </c>
      <c r="M54" s="9"/>
      <c r="N54" s="9"/>
      <c r="O54" s="9"/>
      <c r="P54" s="9"/>
      <c r="Q54" s="9">
        <v>7.2</v>
      </c>
      <c r="R54" s="9">
        <v>0</v>
      </c>
      <c r="S54" s="9">
        <v>0</v>
      </c>
      <c r="T54" s="1">
        <v>29.7</v>
      </c>
      <c r="U54" s="1">
        <v>51.1</v>
      </c>
      <c r="V54" s="9"/>
      <c r="W54" s="9"/>
      <c r="X54" s="9">
        <v>7.3</v>
      </c>
      <c r="Y54" s="9">
        <v>8.1</v>
      </c>
      <c r="Z54" s="9">
        <v>1.9</v>
      </c>
      <c r="AA54" s="9">
        <v>3.6</v>
      </c>
    </row>
    <row r="55" spans="1:27" s="9" customFormat="1" x14ac:dyDescent="0.3"/>
    <row r="56" spans="1:27" s="9" customFormat="1" x14ac:dyDescent="0.3"/>
    <row r="57" spans="1:27" x14ac:dyDescent="0.3">
      <c r="A57" s="9" t="s">
        <v>2306</v>
      </c>
      <c r="D57" s="9">
        <v>6.5</v>
      </c>
      <c r="E57" s="9">
        <v>7.2</v>
      </c>
      <c r="F57" s="9"/>
      <c r="G57" s="9"/>
      <c r="H57" s="1">
        <v>1022</v>
      </c>
      <c r="I57" s="1">
        <v>4840</v>
      </c>
      <c r="J57" s="9"/>
      <c r="K57" s="9"/>
      <c r="L57" s="1">
        <v>3.2</v>
      </c>
      <c r="M57" s="9"/>
      <c r="N57" s="9"/>
      <c r="O57" s="9"/>
      <c r="P57" s="9"/>
      <c r="Q57" s="9">
        <v>6.8</v>
      </c>
      <c r="R57" s="9">
        <v>0</v>
      </c>
      <c r="S57" s="9">
        <v>0</v>
      </c>
      <c r="T57" s="1">
        <v>20.399999999999999</v>
      </c>
      <c r="U57" s="1">
        <v>23.2</v>
      </c>
      <c r="V57" s="9"/>
      <c r="W57" s="9"/>
      <c r="X57" s="9">
        <v>7.1</v>
      </c>
      <c r="Y57" s="9">
        <v>7.8</v>
      </c>
      <c r="Z57" s="9">
        <v>0.04</v>
      </c>
      <c r="AA57" s="9">
        <v>0.05</v>
      </c>
    </row>
    <row r="58" spans="1:27" x14ac:dyDescent="0.3">
      <c r="A58" s="9" t="s">
        <v>2307</v>
      </c>
      <c r="D58" s="9">
        <v>7.4</v>
      </c>
      <c r="E58" s="9">
        <v>8.3000000000000007</v>
      </c>
      <c r="F58" s="9"/>
      <c r="G58" s="9"/>
      <c r="H58" s="9"/>
      <c r="I58" s="9"/>
      <c r="J58" s="9"/>
      <c r="K58" s="9"/>
      <c r="L58" s="1">
        <v>2.5</v>
      </c>
      <c r="M58" s="9"/>
      <c r="N58" s="9"/>
      <c r="O58" s="9"/>
      <c r="P58" s="9"/>
      <c r="Q58" s="9">
        <v>8.3000000000000007</v>
      </c>
      <c r="R58" s="9">
        <v>0</v>
      </c>
      <c r="S58" s="9">
        <v>0</v>
      </c>
      <c r="T58" s="1">
        <v>17.399999999999999</v>
      </c>
      <c r="U58" s="1">
        <v>19.2</v>
      </c>
      <c r="V58" s="9"/>
      <c r="W58" s="9"/>
      <c r="X58" s="9">
        <v>6.8</v>
      </c>
      <c r="Y58" s="9">
        <v>7.7</v>
      </c>
      <c r="Z58" s="9">
        <v>19.3</v>
      </c>
      <c r="AA58" s="9">
        <v>3.3</v>
      </c>
    </row>
    <row r="59" spans="1:27" x14ac:dyDescent="0.3">
      <c r="A59" s="9" t="s">
        <v>2308</v>
      </c>
      <c r="D59" s="9">
        <v>5.2</v>
      </c>
      <c r="E59" s="9">
        <v>6.8</v>
      </c>
      <c r="F59" s="9"/>
      <c r="G59" s="9"/>
      <c r="H59" s="9"/>
      <c r="I59" s="9"/>
      <c r="J59" s="9"/>
      <c r="K59" s="9"/>
      <c r="L59" s="9"/>
      <c r="M59" s="9">
        <v>0.31</v>
      </c>
      <c r="N59" s="9"/>
      <c r="O59" s="9">
        <v>0.57999999999999996</v>
      </c>
      <c r="P59" s="9">
        <v>8.5</v>
      </c>
      <c r="Q59" s="9"/>
      <c r="R59" s="9">
        <v>0</v>
      </c>
      <c r="S59" s="9">
        <v>0</v>
      </c>
      <c r="T59" s="1">
        <v>25.6</v>
      </c>
      <c r="U59" s="1">
        <v>38.200000000000003</v>
      </c>
      <c r="V59" s="9"/>
      <c r="W59" s="9"/>
      <c r="X59" s="9">
        <v>7.1</v>
      </c>
      <c r="Y59" s="9">
        <v>7.6</v>
      </c>
      <c r="Z59" s="9">
        <v>1</v>
      </c>
      <c r="AA59" s="9">
        <v>3.4</v>
      </c>
    </row>
    <row r="60" spans="1:27" x14ac:dyDescent="0.3">
      <c r="A60" s="9" t="s">
        <v>2262</v>
      </c>
      <c r="D60" s="8">
        <v>9.8000000000000007</v>
      </c>
      <c r="E60" s="9">
        <v>9.8000000000000007</v>
      </c>
      <c r="F60" s="9"/>
      <c r="G60" s="9"/>
      <c r="H60" s="9"/>
      <c r="I60" s="9"/>
      <c r="J60" s="9"/>
      <c r="K60" s="9"/>
      <c r="L60" s="9"/>
      <c r="M60" s="1">
        <v>4</v>
      </c>
      <c r="N60" s="9"/>
      <c r="O60" s="9">
        <v>4</v>
      </c>
      <c r="P60" s="9">
        <v>9.1</v>
      </c>
      <c r="Q60" s="9"/>
      <c r="R60" s="9">
        <v>0</v>
      </c>
      <c r="S60" s="9">
        <v>0</v>
      </c>
      <c r="T60" s="1">
        <v>63</v>
      </c>
      <c r="U60" s="1">
        <v>63</v>
      </c>
      <c r="V60" s="9"/>
      <c r="W60" s="9"/>
      <c r="X60" s="9">
        <v>7.4</v>
      </c>
      <c r="Y60" s="9">
        <v>7.4</v>
      </c>
      <c r="Z60" s="9">
        <v>0.06</v>
      </c>
      <c r="AA60" s="9">
        <v>0.06</v>
      </c>
    </row>
    <row r="61" spans="1:27" x14ac:dyDescent="0.3">
      <c r="A61" s="9" t="s">
        <v>2266</v>
      </c>
      <c r="D61" s="1">
        <v>12.6</v>
      </c>
      <c r="E61" s="1">
        <v>17.2</v>
      </c>
      <c r="F61" s="9"/>
      <c r="G61" s="9"/>
      <c r="H61" s="9"/>
      <c r="I61" s="9"/>
      <c r="J61" s="9"/>
      <c r="K61" s="9"/>
      <c r="L61" s="9"/>
      <c r="M61" s="1">
        <v>17.5</v>
      </c>
      <c r="N61" s="9"/>
      <c r="O61" s="1">
        <v>17.8</v>
      </c>
      <c r="P61" s="9">
        <v>9.5</v>
      </c>
      <c r="Q61" s="9"/>
      <c r="R61" s="9">
        <v>0</v>
      </c>
      <c r="S61" s="9">
        <v>0</v>
      </c>
      <c r="T61" s="1">
        <v>24.4</v>
      </c>
      <c r="U61" s="1">
        <v>38.9</v>
      </c>
      <c r="V61" s="9"/>
      <c r="W61" s="9"/>
      <c r="X61" s="9">
        <v>7.3</v>
      </c>
      <c r="Y61" s="9">
        <v>7.8</v>
      </c>
      <c r="Z61" s="9">
        <v>0.06</v>
      </c>
      <c r="AA61" s="9">
        <v>0.08</v>
      </c>
    </row>
    <row r="62" spans="1:27" x14ac:dyDescent="0.3">
      <c r="A62" s="9" t="s">
        <v>2271</v>
      </c>
      <c r="D62" s="1">
        <v>16.3</v>
      </c>
      <c r="E62" s="1">
        <v>20.9</v>
      </c>
      <c r="F62" s="9"/>
      <c r="G62" s="9"/>
      <c r="H62" s="9"/>
      <c r="I62" s="9"/>
      <c r="J62" s="9"/>
      <c r="K62" s="9"/>
      <c r="L62" s="9"/>
      <c r="M62" s="1">
        <v>19.3</v>
      </c>
      <c r="N62" s="9"/>
      <c r="O62" s="1">
        <v>21.7</v>
      </c>
      <c r="P62" s="9">
        <v>6.1</v>
      </c>
      <c r="Q62" s="9"/>
      <c r="R62" s="9">
        <v>0</v>
      </c>
      <c r="S62" s="9">
        <v>0</v>
      </c>
      <c r="T62" s="1">
        <v>82.5</v>
      </c>
      <c r="U62" s="1">
        <v>230.3</v>
      </c>
      <c r="V62" s="9"/>
      <c r="W62" s="9"/>
      <c r="X62" s="9">
        <v>7</v>
      </c>
      <c r="Y62" s="9">
        <v>7.8</v>
      </c>
      <c r="Z62" s="9">
        <v>0.4</v>
      </c>
      <c r="AA62" s="9">
        <v>3.4</v>
      </c>
    </row>
    <row r="63" spans="1:27" x14ac:dyDescent="0.3">
      <c r="A63" s="9" t="s">
        <v>2277</v>
      </c>
      <c r="D63" s="1">
        <v>19.3</v>
      </c>
      <c r="E63" s="1">
        <v>29</v>
      </c>
      <c r="F63" s="9"/>
      <c r="G63" s="9"/>
      <c r="H63" s="9"/>
      <c r="I63" s="9"/>
      <c r="J63" s="9"/>
      <c r="K63" s="9"/>
      <c r="L63" s="9"/>
      <c r="M63" s="1">
        <v>18.399999999999999</v>
      </c>
      <c r="N63" s="9"/>
      <c r="O63" s="1">
        <v>19.3</v>
      </c>
      <c r="P63" s="9">
        <v>7.1</v>
      </c>
      <c r="Q63" s="9"/>
      <c r="R63" s="9">
        <v>0</v>
      </c>
      <c r="S63" s="9">
        <v>0</v>
      </c>
      <c r="T63" s="1">
        <v>123.3</v>
      </c>
      <c r="U63" s="1">
        <v>230.6</v>
      </c>
      <c r="V63" s="9"/>
      <c r="W63" s="9"/>
      <c r="X63" s="9">
        <v>7.2</v>
      </c>
      <c r="Y63" s="9">
        <v>7.9</v>
      </c>
      <c r="Z63" s="9">
        <v>0.6</v>
      </c>
      <c r="AA63" s="9">
        <v>3.4</v>
      </c>
    </row>
    <row r="64" spans="1:27" x14ac:dyDescent="0.3">
      <c r="A64" s="9" t="s">
        <v>2284</v>
      </c>
      <c r="D64" s="1">
        <v>22.5</v>
      </c>
      <c r="E64" s="1">
        <v>28.2</v>
      </c>
      <c r="F64" s="9"/>
      <c r="G64" s="9"/>
      <c r="H64" s="9"/>
      <c r="I64" s="9"/>
      <c r="J64" s="9"/>
      <c r="K64" s="9"/>
      <c r="L64" s="1">
        <v>19.100000000000001</v>
      </c>
      <c r="M64" s="9"/>
      <c r="N64" s="9"/>
      <c r="O64" s="9"/>
      <c r="P64" s="9"/>
      <c r="Q64" s="9">
        <v>8.6</v>
      </c>
      <c r="R64" s="9">
        <v>0</v>
      </c>
      <c r="S64" s="9">
        <v>0</v>
      </c>
      <c r="T64" s="1">
        <v>122.9</v>
      </c>
      <c r="U64" s="1">
        <v>176.1</v>
      </c>
      <c r="V64" s="9"/>
      <c r="W64" s="9"/>
      <c r="X64" s="9">
        <v>7.4</v>
      </c>
      <c r="Y64" s="9">
        <v>8</v>
      </c>
      <c r="Z64" s="9">
        <v>0.1</v>
      </c>
      <c r="AA64" s="9">
        <v>0.3</v>
      </c>
    </row>
    <row r="65" spans="1:31" x14ac:dyDescent="0.3">
      <c r="A65" s="9" t="s">
        <v>2290</v>
      </c>
      <c r="D65" s="1">
        <v>20.7</v>
      </c>
      <c r="E65" s="1">
        <v>37.200000000000003</v>
      </c>
      <c r="F65" s="9"/>
      <c r="G65" s="9"/>
      <c r="H65" s="7">
        <v>14777</v>
      </c>
      <c r="I65" s="7">
        <v>98040</v>
      </c>
      <c r="J65" s="9"/>
      <c r="K65" s="9"/>
      <c r="L65" s="1">
        <v>19.3</v>
      </c>
      <c r="M65" s="9"/>
      <c r="N65" s="9"/>
      <c r="O65" s="9"/>
      <c r="P65" s="9"/>
      <c r="Q65" s="9">
        <v>8</v>
      </c>
      <c r="R65" s="9">
        <v>0</v>
      </c>
      <c r="S65" s="9">
        <v>0</v>
      </c>
      <c r="T65" s="1">
        <v>111.7</v>
      </c>
      <c r="U65" s="1">
        <v>271.39999999999998</v>
      </c>
      <c r="V65" s="9"/>
      <c r="W65" s="9"/>
      <c r="X65" s="9">
        <v>7.3</v>
      </c>
      <c r="Y65" s="9">
        <v>8</v>
      </c>
      <c r="Z65" s="9">
        <v>0.04</v>
      </c>
      <c r="AA65" s="9">
        <v>0.3</v>
      </c>
    </row>
    <row r="66" spans="1:31" s="13" customFormat="1" x14ac:dyDescent="0.3"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s="13" customFormat="1" x14ac:dyDescent="0.3"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s="13" customFormat="1" x14ac:dyDescent="0.3"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71" spans="1:31" s="18" customFormat="1" x14ac:dyDescent="0.3"/>
    <row r="72" spans="1:31" ht="28.8" x14ac:dyDescent="0.3">
      <c r="A72" s="14" t="s">
        <v>2439</v>
      </c>
      <c r="B72" s="15" t="s">
        <v>2436</v>
      </c>
      <c r="C72" s="15" t="s">
        <v>2438</v>
      </c>
    </row>
    <row r="73" spans="1:31" x14ac:dyDescent="0.3">
      <c r="A73" s="9" t="s">
        <v>1166</v>
      </c>
      <c r="B73" s="9">
        <f>COUNT(D73:Y73)</f>
        <v>5</v>
      </c>
      <c r="C73" s="9">
        <v>4.4999999999999998E-2</v>
      </c>
      <c r="D73" s="14" t="str">
        <f t="shared" ref="D73:O73" si="0">IF((D43&lt;D$6)," ", D43)</f>
        <v xml:space="preserve"> </v>
      </c>
      <c r="E73" s="14" t="str">
        <f t="shared" si="0"/>
        <v xml:space="preserve"> </v>
      </c>
      <c r="F73" s="14" t="str">
        <f t="shared" si="0"/>
        <v xml:space="preserve"> </v>
      </c>
      <c r="G73" s="14">
        <f t="shared" si="0"/>
        <v>2420</v>
      </c>
      <c r="H73" s="14" t="str">
        <f t="shared" si="0"/>
        <v xml:space="preserve"> </v>
      </c>
      <c r="I73" s="14" t="str">
        <f t="shared" si="0"/>
        <v xml:space="preserve"> </v>
      </c>
      <c r="J73" s="14" t="str">
        <f t="shared" si="0"/>
        <v xml:space="preserve"> </v>
      </c>
      <c r="K73" s="14" t="str">
        <f t="shared" si="0"/>
        <v xml:space="preserve"> </v>
      </c>
      <c r="L73" s="14">
        <f t="shared" si="0"/>
        <v>9</v>
      </c>
      <c r="M73" s="14" t="str">
        <f t="shared" si="0"/>
        <v xml:space="preserve"> </v>
      </c>
      <c r="N73" s="14">
        <f t="shared" si="0"/>
        <v>14.8</v>
      </c>
      <c r="O73" s="14" t="str">
        <f t="shared" si="0"/>
        <v xml:space="preserve"> </v>
      </c>
      <c r="P73" s="14"/>
      <c r="Q73" s="14" t="str">
        <f>IF((Q43&gt;Q$6)," ", Q43)</f>
        <v xml:space="preserve"> </v>
      </c>
      <c r="R73" s="14" t="str">
        <f t="shared" ref="R73:W84" si="1">IF((R43&lt;R$6)," ", R43)</f>
        <v xml:space="preserve"> </v>
      </c>
      <c r="S73" s="14" t="str">
        <f t="shared" si="1"/>
        <v xml:space="preserve"> </v>
      </c>
      <c r="T73" s="14" t="str">
        <f t="shared" si="1"/>
        <v xml:space="preserve"> </v>
      </c>
      <c r="U73" s="14" t="str">
        <f t="shared" si="1"/>
        <v xml:space="preserve"> </v>
      </c>
      <c r="V73" s="14">
        <f t="shared" si="1"/>
        <v>70.8</v>
      </c>
      <c r="W73" s="14">
        <f t="shared" si="1"/>
        <v>142.30000000000001</v>
      </c>
      <c r="X73" s="14" t="str">
        <f t="shared" ref="X73:X84" si="2">IF((X43&gt;X$6)," ", X43)</f>
        <v xml:space="preserve"> </v>
      </c>
      <c r="Y73" s="14" t="str">
        <f t="shared" ref="Y73:Y84" si="3">IF((Y43&lt;Y$6)," ", Y43)</f>
        <v xml:space="preserve"> </v>
      </c>
    </row>
    <row r="74" spans="1:31" x14ac:dyDescent="0.3">
      <c r="A74" s="9" t="s">
        <v>1172</v>
      </c>
      <c r="B74" s="9">
        <f t="shared" ref="B74:B84" si="4">COUNT(D74:Y74)</f>
        <v>4</v>
      </c>
      <c r="C74" s="9">
        <v>0.06</v>
      </c>
      <c r="D74" s="14" t="str">
        <f t="shared" ref="D74:O74" si="5">IF((D44&lt;D$6)," ", D44)</f>
        <v xml:space="preserve"> </v>
      </c>
      <c r="E74" s="14" t="str">
        <f t="shared" si="5"/>
        <v xml:space="preserve"> </v>
      </c>
      <c r="F74" s="14" t="str">
        <f t="shared" si="5"/>
        <v xml:space="preserve"> </v>
      </c>
      <c r="G74" s="14" t="str">
        <f t="shared" si="5"/>
        <v xml:space="preserve"> </v>
      </c>
      <c r="H74" s="14" t="str">
        <f t="shared" si="5"/>
        <v xml:space="preserve"> </v>
      </c>
      <c r="I74" s="14" t="str">
        <f t="shared" si="5"/>
        <v xml:space="preserve"> </v>
      </c>
      <c r="J74" s="14" t="str">
        <f t="shared" si="5"/>
        <v xml:space="preserve"> </v>
      </c>
      <c r="K74" s="14" t="str">
        <f t="shared" si="5"/>
        <v xml:space="preserve"> </v>
      </c>
      <c r="L74" s="14">
        <f t="shared" si="5"/>
        <v>6.3</v>
      </c>
      <c r="M74" s="14" t="str">
        <f t="shared" si="5"/>
        <v xml:space="preserve"> </v>
      </c>
      <c r="N74" s="14">
        <f t="shared" si="5"/>
        <v>16.8</v>
      </c>
      <c r="O74" s="14" t="str">
        <f t="shared" si="5"/>
        <v xml:space="preserve"> </v>
      </c>
      <c r="P74" s="14"/>
      <c r="Q74" s="14" t="str">
        <f>IF((Q44&gt;Q$6)," ", Q44)</f>
        <v xml:space="preserve"> </v>
      </c>
      <c r="R74" s="14" t="str">
        <f t="shared" si="1"/>
        <v xml:space="preserve"> </v>
      </c>
      <c r="S74" s="14" t="str">
        <f t="shared" si="1"/>
        <v xml:space="preserve"> </v>
      </c>
      <c r="T74" s="14" t="str">
        <f t="shared" si="1"/>
        <v xml:space="preserve"> </v>
      </c>
      <c r="U74" s="14" t="str">
        <f t="shared" si="1"/>
        <v xml:space="preserve"> </v>
      </c>
      <c r="V74" s="14">
        <f t="shared" si="1"/>
        <v>76.3</v>
      </c>
      <c r="W74" s="14">
        <f t="shared" si="1"/>
        <v>153.80000000000001</v>
      </c>
      <c r="X74" s="14" t="str">
        <f t="shared" si="2"/>
        <v xml:space="preserve"> </v>
      </c>
      <c r="Y74" s="14" t="str">
        <f t="shared" si="3"/>
        <v xml:space="preserve"> </v>
      </c>
    </row>
    <row r="75" spans="1:31" x14ac:dyDescent="0.3">
      <c r="A75" s="9" t="s">
        <v>1181</v>
      </c>
      <c r="B75" s="9">
        <f t="shared" si="4"/>
        <v>6</v>
      </c>
      <c r="C75" s="9">
        <v>4.4999999999999998E-2</v>
      </c>
      <c r="D75" s="14">
        <f t="shared" ref="D75:O75" si="6">IF((D45&lt;D$6)," ", D45)</f>
        <v>13.9</v>
      </c>
      <c r="E75" s="14">
        <f t="shared" si="6"/>
        <v>16.600000000000001</v>
      </c>
      <c r="F75" s="14" t="str">
        <f t="shared" si="6"/>
        <v xml:space="preserve"> </v>
      </c>
      <c r="G75" s="14" t="str">
        <f t="shared" si="6"/>
        <v xml:space="preserve"> </v>
      </c>
      <c r="H75" s="14" t="str">
        <f t="shared" si="6"/>
        <v xml:space="preserve"> </v>
      </c>
      <c r="I75" s="14" t="str">
        <f t="shared" si="6"/>
        <v xml:space="preserve"> </v>
      </c>
      <c r="J75" s="14" t="str">
        <f t="shared" si="6"/>
        <v xml:space="preserve"> </v>
      </c>
      <c r="K75" s="14" t="str">
        <f t="shared" si="6"/>
        <v xml:space="preserve"> </v>
      </c>
      <c r="L75" s="14" t="str">
        <f t="shared" si="6"/>
        <v xml:space="preserve"> </v>
      </c>
      <c r="M75" s="14">
        <f t="shared" si="6"/>
        <v>13.6</v>
      </c>
      <c r="N75" s="14" t="str">
        <f t="shared" si="6"/>
        <v xml:space="preserve"> </v>
      </c>
      <c r="O75" s="14">
        <f t="shared" si="6"/>
        <v>20.399999999999999</v>
      </c>
      <c r="P75" s="14" t="str">
        <f>IF((P45&gt;P$6)," ", P45)</f>
        <v xml:space="preserve"> </v>
      </c>
      <c r="Q75" s="14"/>
      <c r="R75" s="14" t="str">
        <f t="shared" si="1"/>
        <v xml:space="preserve"> </v>
      </c>
      <c r="S75" s="14" t="str">
        <f t="shared" si="1"/>
        <v xml:space="preserve"> </v>
      </c>
      <c r="T75" s="14" t="str">
        <f t="shared" si="1"/>
        <v xml:space="preserve"> </v>
      </c>
      <c r="U75" s="14" t="str">
        <f t="shared" si="1"/>
        <v xml:space="preserve"> </v>
      </c>
      <c r="V75" s="14">
        <f t="shared" si="1"/>
        <v>265.8</v>
      </c>
      <c r="W75" s="14">
        <f t="shared" si="1"/>
        <v>339</v>
      </c>
      <c r="X75" s="14" t="str">
        <f t="shared" si="2"/>
        <v xml:space="preserve"> </v>
      </c>
      <c r="Y75" s="14" t="str">
        <f t="shared" si="3"/>
        <v xml:space="preserve"> </v>
      </c>
    </row>
    <row r="76" spans="1:31" x14ac:dyDescent="0.3">
      <c r="A76" s="9" t="s">
        <v>1203</v>
      </c>
      <c r="B76" s="9">
        <f t="shared" si="4"/>
        <v>6</v>
      </c>
      <c r="C76" s="9">
        <v>4.4999999999999998E-2</v>
      </c>
      <c r="D76" s="14">
        <f t="shared" ref="D76:O76" si="7">IF((D46&lt;D$6)," ", D46)</f>
        <v>21.6</v>
      </c>
      <c r="E76" s="14">
        <f t="shared" si="7"/>
        <v>40.4</v>
      </c>
      <c r="F76" s="14" t="str">
        <f t="shared" si="7"/>
        <v xml:space="preserve"> </v>
      </c>
      <c r="G76" s="14" t="str">
        <f t="shared" si="7"/>
        <v xml:space="preserve"> </v>
      </c>
      <c r="H76" s="14" t="str">
        <f t="shared" si="7"/>
        <v xml:space="preserve"> </v>
      </c>
      <c r="I76" s="14" t="str">
        <f t="shared" si="7"/>
        <v xml:space="preserve"> </v>
      </c>
      <c r="J76" s="14" t="str">
        <f t="shared" si="7"/>
        <v xml:space="preserve"> </v>
      </c>
      <c r="K76" s="14" t="str">
        <f t="shared" si="7"/>
        <v xml:space="preserve"> </v>
      </c>
      <c r="L76" s="14" t="str">
        <f t="shared" si="7"/>
        <v xml:space="preserve"> </v>
      </c>
      <c r="M76" s="14">
        <f t="shared" si="7"/>
        <v>24.6</v>
      </c>
      <c r="N76" s="14" t="str">
        <f t="shared" si="7"/>
        <v xml:space="preserve"> </v>
      </c>
      <c r="O76" s="14">
        <f t="shared" si="7"/>
        <v>27.2</v>
      </c>
      <c r="P76" s="14" t="str">
        <f>IF((P46&gt;P$6)," ", P46)</f>
        <v xml:space="preserve"> </v>
      </c>
      <c r="Q76" s="14"/>
      <c r="R76" s="14" t="str">
        <f t="shared" si="1"/>
        <v xml:space="preserve"> </v>
      </c>
      <c r="S76" s="14" t="str">
        <f t="shared" si="1"/>
        <v xml:space="preserve"> </v>
      </c>
      <c r="T76" s="14" t="str">
        <f t="shared" si="1"/>
        <v xml:space="preserve"> </v>
      </c>
      <c r="U76" s="14" t="str">
        <f t="shared" si="1"/>
        <v xml:space="preserve"> </v>
      </c>
      <c r="V76" s="14">
        <f t="shared" si="1"/>
        <v>121.7</v>
      </c>
      <c r="W76" s="14">
        <f t="shared" si="1"/>
        <v>262.39999999999998</v>
      </c>
      <c r="X76" s="14" t="str">
        <f t="shared" si="2"/>
        <v xml:space="preserve"> </v>
      </c>
      <c r="Y76" s="14" t="str">
        <f t="shared" si="3"/>
        <v xml:space="preserve"> </v>
      </c>
    </row>
    <row r="77" spans="1:31" x14ac:dyDescent="0.3">
      <c r="A77" s="9" t="s">
        <v>2298</v>
      </c>
      <c r="B77" s="9">
        <f t="shared" si="4"/>
        <v>6</v>
      </c>
      <c r="C77" s="9">
        <v>4.4999999999999998E-2</v>
      </c>
      <c r="D77" s="14">
        <f t="shared" ref="D77:O77" si="8">IF((D47&lt;D$6)," ", D47)</f>
        <v>12.7</v>
      </c>
      <c r="E77" s="14">
        <f t="shared" si="8"/>
        <v>16.600000000000001</v>
      </c>
      <c r="F77" s="14" t="str">
        <f t="shared" si="8"/>
        <v xml:space="preserve"> </v>
      </c>
      <c r="G77" s="14" t="str">
        <f t="shared" si="8"/>
        <v xml:space="preserve"> </v>
      </c>
      <c r="H77" s="14" t="str">
        <f t="shared" si="8"/>
        <v xml:space="preserve"> </v>
      </c>
      <c r="I77" s="14" t="str">
        <f t="shared" si="8"/>
        <v xml:space="preserve"> </v>
      </c>
      <c r="J77" s="14" t="str">
        <f t="shared" si="8"/>
        <v xml:space="preserve"> </v>
      </c>
      <c r="K77" s="14" t="str">
        <f t="shared" si="8"/>
        <v xml:space="preserve"> </v>
      </c>
      <c r="L77" s="14" t="str">
        <f t="shared" si="8"/>
        <v xml:space="preserve"> </v>
      </c>
      <c r="M77" s="14">
        <f t="shared" si="8"/>
        <v>19.5</v>
      </c>
      <c r="N77" s="14" t="str">
        <f t="shared" si="8"/>
        <v xml:space="preserve"> </v>
      </c>
      <c r="O77" s="14">
        <f t="shared" si="8"/>
        <v>25.1</v>
      </c>
      <c r="P77" s="14" t="str">
        <f>IF((P47&gt;P$6)," ", P47)</f>
        <v xml:space="preserve"> </v>
      </c>
      <c r="Q77" s="14"/>
      <c r="R77" s="14" t="str">
        <f t="shared" si="1"/>
        <v xml:space="preserve"> </v>
      </c>
      <c r="S77" s="14" t="str">
        <f t="shared" si="1"/>
        <v xml:space="preserve"> </v>
      </c>
      <c r="T77" s="14" t="str">
        <f t="shared" si="1"/>
        <v xml:space="preserve"> </v>
      </c>
      <c r="U77" s="14" t="str">
        <f t="shared" si="1"/>
        <v xml:space="preserve"> </v>
      </c>
      <c r="V77" s="14">
        <f t="shared" si="1"/>
        <v>137.5</v>
      </c>
      <c r="W77" s="14">
        <f t="shared" si="1"/>
        <v>199.3</v>
      </c>
      <c r="X77" s="14" t="str">
        <f t="shared" si="2"/>
        <v xml:space="preserve"> </v>
      </c>
      <c r="Y77" s="14" t="str">
        <f t="shared" si="3"/>
        <v xml:space="preserve"> </v>
      </c>
    </row>
    <row r="78" spans="1:31" x14ac:dyDescent="0.3">
      <c r="A78" s="9" t="s">
        <v>2299</v>
      </c>
      <c r="B78" s="9">
        <f t="shared" si="4"/>
        <v>4</v>
      </c>
      <c r="C78" s="9">
        <v>0.06</v>
      </c>
      <c r="D78" s="14" t="str">
        <f t="shared" ref="D78:O78" si="9">IF((D48&lt;D$6)," ", D48)</f>
        <v xml:space="preserve"> </v>
      </c>
      <c r="E78" s="14" t="str">
        <f t="shared" si="9"/>
        <v xml:space="preserve"> </v>
      </c>
      <c r="F78" s="14" t="str">
        <f t="shared" si="9"/>
        <v xml:space="preserve"> </v>
      </c>
      <c r="G78" s="14" t="str">
        <f t="shared" si="9"/>
        <v xml:space="preserve"> </v>
      </c>
      <c r="H78" s="14" t="str">
        <f t="shared" si="9"/>
        <v xml:space="preserve"> </v>
      </c>
      <c r="I78" s="14" t="str">
        <f t="shared" si="9"/>
        <v xml:space="preserve"> </v>
      </c>
      <c r="J78" s="14" t="str">
        <f t="shared" si="9"/>
        <v xml:space="preserve"> </v>
      </c>
      <c r="K78" s="14" t="str">
        <f t="shared" si="9"/>
        <v xml:space="preserve"> </v>
      </c>
      <c r="L78" s="14" t="str">
        <f t="shared" si="9"/>
        <v xml:space="preserve"> </v>
      </c>
      <c r="M78" s="14">
        <f t="shared" si="9"/>
        <v>15.5</v>
      </c>
      <c r="N78" s="14" t="str">
        <f t="shared" si="9"/>
        <v xml:space="preserve"> </v>
      </c>
      <c r="O78" s="14">
        <f t="shared" si="9"/>
        <v>17.3</v>
      </c>
      <c r="P78" s="14" t="str">
        <f>IF((P48&gt;P$6)," ", P48)</f>
        <v xml:space="preserve"> </v>
      </c>
      <c r="Q78" s="14"/>
      <c r="R78" s="14" t="str">
        <f t="shared" si="1"/>
        <v xml:space="preserve"> </v>
      </c>
      <c r="S78" s="14" t="str">
        <f t="shared" si="1"/>
        <v xml:space="preserve"> </v>
      </c>
      <c r="T78" s="14" t="str">
        <f t="shared" si="1"/>
        <v xml:space="preserve"> </v>
      </c>
      <c r="U78" s="14" t="str">
        <f t="shared" si="1"/>
        <v xml:space="preserve"> </v>
      </c>
      <c r="V78" s="14">
        <f t="shared" si="1"/>
        <v>72.599999999999994</v>
      </c>
      <c r="W78" s="14">
        <f t="shared" si="1"/>
        <v>133.9</v>
      </c>
      <c r="X78" s="14" t="str">
        <f t="shared" si="2"/>
        <v xml:space="preserve"> </v>
      </c>
      <c r="Y78" s="14" t="str">
        <f t="shared" si="3"/>
        <v xml:space="preserve"> </v>
      </c>
    </row>
    <row r="79" spans="1:31" x14ac:dyDescent="0.3">
      <c r="A79" s="9" t="s">
        <v>2300</v>
      </c>
      <c r="B79" s="9">
        <f t="shared" si="4"/>
        <v>4</v>
      </c>
      <c r="C79" s="9">
        <v>0.06</v>
      </c>
      <c r="D79" s="14" t="str">
        <f t="shared" ref="D79:O79" si="10">IF((D49&lt;D$6)," ", D49)</f>
        <v xml:space="preserve"> </v>
      </c>
      <c r="E79" s="14" t="str">
        <f t="shared" si="10"/>
        <v xml:space="preserve"> </v>
      </c>
      <c r="F79" s="14" t="str">
        <f t="shared" si="10"/>
        <v xml:space="preserve"> </v>
      </c>
      <c r="G79" s="14" t="str">
        <f t="shared" si="10"/>
        <v xml:space="preserve"> </v>
      </c>
      <c r="H79" s="14" t="str">
        <f t="shared" si="10"/>
        <v xml:space="preserve"> </v>
      </c>
      <c r="I79" s="14" t="str">
        <f t="shared" si="10"/>
        <v xml:space="preserve"> </v>
      </c>
      <c r="J79" s="14" t="str">
        <f t="shared" si="10"/>
        <v xml:space="preserve"> </v>
      </c>
      <c r="K79" s="14" t="str">
        <f t="shared" si="10"/>
        <v xml:space="preserve"> </v>
      </c>
      <c r="L79" s="14" t="str">
        <f t="shared" si="10"/>
        <v xml:space="preserve"> </v>
      </c>
      <c r="M79" s="14">
        <f t="shared" si="10"/>
        <v>9.3000000000000007</v>
      </c>
      <c r="N79" s="14" t="str">
        <f t="shared" si="10"/>
        <v xml:space="preserve"> </v>
      </c>
      <c r="O79" s="14">
        <f t="shared" si="10"/>
        <v>19</v>
      </c>
      <c r="P79" s="14" t="str">
        <f>IF((P49&gt;P$6)," ", P49)</f>
        <v xml:space="preserve"> </v>
      </c>
      <c r="Q79" s="14"/>
      <c r="R79" s="14" t="str">
        <f t="shared" si="1"/>
        <v xml:space="preserve"> </v>
      </c>
      <c r="S79" s="14" t="str">
        <f t="shared" si="1"/>
        <v xml:space="preserve"> </v>
      </c>
      <c r="T79" s="14" t="str">
        <f t="shared" si="1"/>
        <v xml:space="preserve"> </v>
      </c>
      <c r="U79" s="14" t="str">
        <f t="shared" si="1"/>
        <v xml:space="preserve"> </v>
      </c>
      <c r="V79" s="14">
        <f t="shared" si="1"/>
        <v>155.30000000000001</v>
      </c>
      <c r="W79" s="14">
        <f t="shared" si="1"/>
        <v>243.7</v>
      </c>
      <c r="X79" s="14" t="str">
        <f t="shared" si="2"/>
        <v xml:space="preserve"> </v>
      </c>
      <c r="Y79" s="14" t="str">
        <f t="shared" si="3"/>
        <v xml:space="preserve"> </v>
      </c>
    </row>
    <row r="80" spans="1:31" x14ac:dyDescent="0.3">
      <c r="A80" s="9" t="s">
        <v>2301</v>
      </c>
      <c r="B80" s="9">
        <f t="shared" si="4"/>
        <v>2</v>
      </c>
      <c r="C80" s="9">
        <v>7.4999999999999997E-2</v>
      </c>
      <c r="D80" s="14" t="str">
        <f t="shared" ref="D80:O80" si="11">IF((D50&lt;D$6)," ", D50)</f>
        <v xml:space="preserve"> </v>
      </c>
      <c r="E80" s="14" t="str">
        <f t="shared" si="11"/>
        <v xml:space="preserve"> </v>
      </c>
      <c r="F80" s="14" t="str">
        <f t="shared" si="11"/>
        <v xml:space="preserve"> </v>
      </c>
      <c r="G80" s="14" t="str">
        <f t="shared" si="11"/>
        <v xml:space="preserve"> </v>
      </c>
      <c r="H80" s="14" t="str">
        <f t="shared" si="11"/>
        <v xml:space="preserve"> </v>
      </c>
      <c r="I80" s="14" t="str">
        <f t="shared" si="11"/>
        <v xml:space="preserve"> </v>
      </c>
      <c r="J80" s="14" t="str">
        <f t="shared" si="11"/>
        <v xml:space="preserve"> </v>
      </c>
      <c r="K80" s="14" t="str">
        <f t="shared" si="11"/>
        <v xml:space="preserve"> </v>
      </c>
      <c r="L80" s="14" t="str">
        <f t="shared" si="11"/>
        <v xml:space="preserve"> </v>
      </c>
      <c r="M80" s="14" t="str">
        <f t="shared" si="11"/>
        <v xml:space="preserve"> </v>
      </c>
      <c r="N80" s="14" t="str">
        <f t="shared" si="11"/>
        <v xml:space="preserve"> </v>
      </c>
      <c r="O80" s="14" t="str">
        <f t="shared" si="11"/>
        <v xml:space="preserve"> </v>
      </c>
      <c r="P80" s="14"/>
      <c r="Q80" s="14" t="str">
        <f>IF((Q50&gt;Q$6)," ", Q50)</f>
        <v xml:space="preserve"> </v>
      </c>
      <c r="R80" s="14" t="str">
        <f t="shared" si="1"/>
        <v xml:space="preserve"> </v>
      </c>
      <c r="S80" s="14" t="str">
        <f t="shared" si="1"/>
        <v xml:space="preserve"> </v>
      </c>
      <c r="T80" s="14">
        <f t="shared" si="1"/>
        <v>70.7</v>
      </c>
      <c r="U80" s="14">
        <f t="shared" si="1"/>
        <v>117.2</v>
      </c>
      <c r="V80" s="14" t="str">
        <f t="shared" si="1"/>
        <v xml:space="preserve"> </v>
      </c>
      <c r="W80" s="14" t="str">
        <f t="shared" si="1"/>
        <v xml:space="preserve"> </v>
      </c>
      <c r="X80" s="14" t="str">
        <f t="shared" si="2"/>
        <v xml:space="preserve"> </v>
      </c>
      <c r="Y80" s="14" t="str">
        <f t="shared" si="3"/>
        <v xml:space="preserve"> </v>
      </c>
    </row>
    <row r="81" spans="1:25" x14ac:dyDescent="0.3">
      <c r="A81" s="9" t="s">
        <v>2302</v>
      </c>
      <c r="B81" s="9">
        <f t="shared" si="4"/>
        <v>3</v>
      </c>
      <c r="C81" s="9">
        <v>0.06</v>
      </c>
      <c r="D81" s="14" t="str">
        <f t="shared" ref="D81:O81" si="12">IF((D51&lt;D$6)," ", D51)</f>
        <v xml:space="preserve"> </v>
      </c>
      <c r="E81" s="14" t="str">
        <f t="shared" si="12"/>
        <v xml:space="preserve"> </v>
      </c>
      <c r="F81" s="14" t="str">
        <f t="shared" si="12"/>
        <v xml:space="preserve"> </v>
      </c>
      <c r="G81" s="14" t="str">
        <f t="shared" si="12"/>
        <v xml:space="preserve"> </v>
      </c>
      <c r="H81" s="14" t="str">
        <f t="shared" si="12"/>
        <v xml:space="preserve"> </v>
      </c>
      <c r="I81" s="14">
        <f t="shared" si="12"/>
        <v>2420</v>
      </c>
      <c r="J81" s="14" t="str">
        <f t="shared" si="12"/>
        <v xml:space="preserve"> </v>
      </c>
      <c r="K81" s="14" t="str">
        <f t="shared" si="12"/>
        <v xml:space="preserve"> </v>
      </c>
      <c r="L81" s="14">
        <f t="shared" si="12"/>
        <v>2.4</v>
      </c>
      <c r="M81" s="14" t="str">
        <f t="shared" si="12"/>
        <v xml:space="preserve"> </v>
      </c>
      <c r="N81" s="14" t="str">
        <f t="shared" si="12"/>
        <v xml:space="preserve"> </v>
      </c>
      <c r="O81" s="14" t="str">
        <f t="shared" si="12"/>
        <v xml:space="preserve"> </v>
      </c>
      <c r="P81" s="14"/>
      <c r="Q81" s="14" t="str">
        <f>IF((Q51&gt;Q$6)," ", Q51)</f>
        <v xml:space="preserve"> </v>
      </c>
      <c r="R81" s="14" t="str">
        <f t="shared" si="1"/>
        <v xml:space="preserve"> </v>
      </c>
      <c r="S81" s="14" t="str">
        <f t="shared" si="1"/>
        <v xml:space="preserve"> </v>
      </c>
      <c r="T81" s="14">
        <f t="shared" si="1"/>
        <v>15.9</v>
      </c>
      <c r="U81" s="14" t="str">
        <f t="shared" si="1"/>
        <v xml:space="preserve"> </v>
      </c>
      <c r="V81" s="14" t="str">
        <f t="shared" si="1"/>
        <v xml:space="preserve"> </v>
      </c>
      <c r="W81" s="14" t="str">
        <f t="shared" si="1"/>
        <v xml:space="preserve"> </v>
      </c>
      <c r="X81" s="14" t="str">
        <f t="shared" si="2"/>
        <v xml:space="preserve"> </v>
      </c>
      <c r="Y81" s="14" t="str">
        <f t="shared" si="3"/>
        <v xml:space="preserve"> </v>
      </c>
    </row>
    <row r="82" spans="1:25" x14ac:dyDescent="0.3">
      <c r="A82" s="9" t="s">
        <v>2303</v>
      </c>
      <c r="B82" s="9">
        <f t="shared" si="4"/>
        <v>4</v>
      </c>
      <c r="C82" s="9">
        <v>0.06</v>
      </c>
      <c r="D82" s="14" t="str">
        <f t="shared" ref="D82:O82" si="13">IF((D52&lt;D$6)," ", D52)</f>
        <v xml:space="preserve"> </v>
      </c>
      <c r="E82" s="14" t="str">
        <f t="shared" si="13"/>
        <v xml:space="preserve"> </v>
      </c>
      <c r="F82" s="14" t="str">
        <f t="shared" si="13"/>
        <v xml:space="preserve"> </v>
      </c>
      <c r="G82" s="14" t="str">
        <f t="shared" si="13"/>
        <v xml:space="preserve"> </v>
      </c>
      <c r="H82" s="14">
        <f t="shared" si="13"/>
        <v>180</v>
      </c>
      <c r="I82" s="14">
        <f t="shared" si="13"/>
        <v>1733</v>
      </c>
      <c r="J82" s="14" t="str">
        <f t="shared" si="13"/>
        <v xml:space="preserve"> </v>
      </c>
      <c r="K82" s="14" t="str">
        <f t="shared" si="13"/>
        <v xml:space="preserve"> </v>
      </c>
      <c r="L82" s="14" t="str">
        <f t="shared" si="13"/>
        <v xml:space="preserve"> </v>
      </c>
      <c r="M82" s="14" t="str">
        <f t="shared" si="13"/>
        <v xml:space="preserve"> </v>
      </c>
      <c r="N82" s="14" t="str">
        <f t="shared" si="13"/>
        <v xml:space="preserve"> </v>
      </c>
      <c r="O82" s="14" t="str">
        <f t="shared" si="13"/>
        <v xml:space="preserve"> </v>
      </c>
      <c r="P82" s="14"/>
      <c r="Q82" s="14" t="str">
        <f>IF((Q52&gt;Q$6)," ", Q52)</f>
        <v xml:space="preserve"> </v>
      </c>
      <c r="R82" s="14" t="str">
        <f t="shared" si="1"/>
        <v xml:space="preserve"> </v>
      </c>
      <c r="S82" s="14" t="str">
        <f t="shared" si="1"/>
        <v xml:space="preserve"> </v>
      </c>
      <c r="T82" s="14">
        <f t="shared" si="1"/>
        <v>39.4</v>
      </c>
      <c r="U82" s="14">
        <f t="shared" si="1"/>
        <v>77.2</v>
      </c>
      <c r="V82" s="14" t="str">
        <f t="shared" si="1"/>
        <v xml:space="preserve"> </v>
      </c>
      <c r="W82" s="14" t="str">
        <f t="shared" si="1"/>
        <v xml:space="preserve"> </v>
      </c>
      <c r="X82" s="14" t="str">
        <f t="shared" si="2"/>
        <v xml:space="preserve"> </v>
      </c>
      <c r="Y82" s="14" t="str">
        <f t="shared" si="3"/>
        <v xml:space="preserve"> </v>
      </c>
    </row>
    <row r="83" spans="1:25" x14ac:dyDescent="0.3">
      <c r="A83" s="9" t="s">
        <v>2304</v>
      </c>
      <c r="B83" s="9">
        <f t="shared" si="4"/>
        <v>5</v>
      </c>
      <c r="C83" s="9">
        <v>4.4999999999999998E-2</v>
      </c>
      <c r="D83" s="14" t="str">
        <f t="shared" ref="D83:O83" si="14">IF((D53&lt;D$6)," ", D53)</f>
        <v xml:space="preserve"> </v>
      </c>
      <c r="E83" s="14" t="str">
        <f t="shared" si="14"/>
        <v xml:space="preserve"> </v>
      </c>
      <c r="F83" s="14" t="str">
        <f t="shared" si="14"/>
        <v xml:space="preserve"> </v>
      </c>
      <c r="G83" s="14" t="str">
        <f t="shared" si="14"/>
        <v xml:space="preserve"> </v>
      </c>
      <c r="H83" s="14">
        <f t="shared" si="14"/>
        <v>571</v>
      </c>
      <c r="I83" s="14">
        <f t="shared" si="14"/>
        <v>2420</v>
      </c>
      <c r="J83" s="14" t="str">
        <f t="shared" si="14"/>
        <v xml:space="preserve"> </v>
      </c>
      <c r="K83" s="14" t="str">
        <f t="shared" si="14"/>
        <v xml:space="preserve"> </v>
      </c>
      <c r="L83" s="14">
        <f t="shared" si="14"/>
        <v>3.9</v>
      </c>
      <c r="M83" s="14" t="str">
        <f t="shared" si="14"/>
        <v xml:space="preserve"> </v>
      </c>
      <c r="N83" s="14" t="str">
        <f t="shared" si="14"/>
        <v xml:space="preserve"> </v>
      </c>
      <c r="O83" s="14" t="str">
        <f t="shared" si="14"/>
        <v xml:space="preserve"> </v>
      </c>
      <c r="P83" s="14"/>
      <c r="Q83" s="14" t="str">
        <f>IF((Q53&gt;Q$6)," ", Q53)</f>
        <v xml:space="preserve"> </v>
      </c>
      <c r="R83" s="14" t="str">
        <f t="shared" si="1"/>
        <v xml:space="preserve"> </v>
      </c>
      <c r="S83" s="14" t="str">
        <f t="shared" si="1"/>
        <v xml:space="preserve"> </v>
      </c>
      <c r="T83" s="14">
        <f t="shared" si="1"/>
        <v>66.7</v>
      </c>
      <c r="U83" s="14">
        <f t="shared" si="1"/>
        <v>285.8</v>
      </c>
      <c r="V83" s="14" t="str">
        <f t="shared" si="1"/>
        <v xml:space="preserve"> </v>
      </c>
      <c r="W83" s="14" t="str">
        <f t="shared" si="1"/>
        <v xml:space="preserve"> </v>
      </c>
      <c r="X83" s="14" t="str">
        <f t="shared" si="2"/>
        <v xml:space="preserve"> </v>
      </c>
      <c r="Y83" s="14" t="str">
        <f t="shared" si="3"/>
        <v xml:space="preserve"> </v>
      </c>
    </row>
    <row r="84" spans="1:25" x14ac:dyDescent="0.3">
      <c r="A84" s="9" t="s">
        <v>2305</v>
      </c>
      <c r="B84" s="9">
        <f t="shared" si="4"/>
        <v>5</v>
      </c>
      <c r="C84" s="9">
        <v>4.4999999999999998E-2</v>
      </c>
      <c r="D84" s="14" t="str">
        <f t="shared" ref="D84:O84" si="15">IF((D54&lt;D$6)," ", D54)</f>
        <v xml:space="preserve"> </v>
      </c>
      <c r="E84" s="14" t="str">
        <f t="shared" si="15"/>
        <v xml:space="preserve"> </v>
      </c>
      <c r="F84" s="14" t="str">
        <f t="shared" si="15"/>
        <v xml:space="preserve"> </v>
      </c>
      <c r="G84" s="14" t="str">
        <f t="shared" si="15"/>
        <v xml:space="preserve"> </v>
      </c>
      <c r="H84" s="14">
        <f t="shared" si="15"/>
        <v>899</v>
      </c>
      <c r="I84" s="14">
        <f t="shared" si="15"/>
        <v>2828</v>
      </c>
      <c r="J84" s="14" t="str">
        <f t="shared" si="15"/>
        <v xml:space="preserve"> </v>
      </c>
      <c r="K84" s="14" t="str">
        <f t="shared" si="15"/>
        <v xml:space="preserve"> </v>
      </c>
      <c r="L84" s="14">
        <f t="shared" si="15"/>
        <v>2.1</v>
      </c>
      <c r="M84" s="14" t="str">
        <f t="shared" si="15"/>
        <v xml:space="preserve"> </v>
      </c>
      <c r="N84" s="14" t="str">
        <f t="shared" si="15"/>
        <v xml:space="preserve"> </v>
      </c>
      <c r="O84" s="14" t="str">
        <f t="shared" si="15"/>
        <v xml:space="preserve"> </v>
      </c>
      <c r="P84" s="14"/>
      <c r="Q84" s="14" t="str">
        <f>IF((Q54&gt;Q$6)," ", Q54)</f>
        <v xml:space="preserve"> </v>
      </c>
      <c r="R84" s="14" t="str">
        <f t="shared" si="1"/>
        <v xml:space="preserve"> </v>
      </c>
      <c r="S84" s="14" t="str">
        <f t="shared" si="1"/>
        <v xml:space="preserve"> </v>
      </c>
      <c r="T84" s="14">
        <f t="shared" si="1"/>
        <v>29.7</v>
      </c>
      <c r="U84" s="14">
        <f t="shared" si="1"/>
        <v>51.1</v>
      </c>
      <c r="V84" s="14" t="str">
        <f t="shared" si="1"/>
        <v xml:space="preserve"> </v>
      </c>
      <c r="W84" s="14" t="str">
        <f t="shared" si="1"/>
        <v xml:space="preserve"> </v>
      </c>
      <c r="X84" s="14" t="str">
        <f t="shared" si="2"/>
        <v xml:space="preserve"> </v>
      </c>
      <c r="Y84" s="14" t="str">
        <f t="shared" si="3"/>
        <v xml:space="preserve"> </v>
      </c>
    </row>
    <row r="85" spans="1:25" s="9" customFormat="1" x14ac:dyDescent="0.3">
      <c r="C85" s="1">
        <f>SUM(C73:C84)/12</f>
        <v>5.3749999999999999E-2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5" x14ac:dyDescent="0.3">
      <c r="B86" s="15"/>
      <c r="C86" s="15"/>
    </row>
    <row r="87" spans="1:25" ht="28.8" x14ac:dyDescent="0.3">
      <c r="A87" s="14" t="s">
        <v>2439</v>
      </c>
      <c r="B87" s="15" t="s">
        <v>2437</v>
      </c>
      <c r="C87" s="15"/>
    </row>
    <row r="88" spans="1:25" x14ac:dyDescent="0.3">
      <c r="A88" s="9" t="s">
        <v>1166</v>
      </c>
      <c r="B88" s="9">
        <f>COUNT(D88:Y88)</f>
        <v>1</v>
      </c>
      <c r="C88" s="13">
        <f>IF((B88&gt;0), 0, C73)</f>
        <v>0</v>
      </c>
      <c r="D88" s="14" t="str">
        <f t="shared" ref="D88:O88" si="16">IF((D43&lt;($B$100*D$6))," ", D43)</f>
        <v xml:space="preserve"> </v>
      </c>
      <c r="E88" s="14" t="str">
        <f t="shared" si="16"/>
        <v xml:space="preserve"> </v>
      </c>
      <c r="F88" s="14" t="str">
        <f t="shared" si="16"/>
        <v xml:space="preserve"> </v>
      </c>
      <c r="G88" s="14">
        <f t="shared" si="16"/>
        <v>2420</v>
      </c>
      <c r="H88" s="14" t="str">
        <f t="shared" si="16"/>
        <v xml:space="preserve"> </v>
      </c>
      <c r="I88" s="14" t="str">
        <f t="shared" si="16"/>
        <v xml:space="preserve"> </v>
      </c>
      <c r="J88" s="14" t="str">
        <f t="shared" si="16"/>
        <v xml:space="preserve"> </v>
      </c>
      <c r="K88" s="14" t="str">
        <f t="shared" si="16"/>
        <v xml:space="preserve"> </v>
      </c>
      <c r="L88" s="14" t="str">
        <f t="shared" si="16"/>
        <v xml:space="preserve"> </v>
      </c>
      <c r="M88" s="14" t="str">
        <f t="shared" si="16"/>
        <v xml:space="preserve"> </v>
      </c>
      <c r="N88" s="14" t="str">
        <f t="shared" si="16"/>
        <v xml:space="preserve"> </v>
      </c>
      <c r="O88" s="14" t="str">
        <f t="shared" si="16"/>
        <v xml:space="preserve"> </v>
      </c>
      <c r="P88" s="14"/>
      <c r="Q88" s="14"/>
      <c r="R88" s="14" t="str">
        <f t="shared" ref="R88:W99" si="17">IF((R43&lt;($B$100*R$6))," ", R43)</f>
        <v xml:space="preserve"> </v>
      </c>
      <c r="S88" s="14" t="str">
        <f t="shared" si="17"/>
        <v xml:space="preserve"> </v>
      </c>
      <c r="T88" s="14" t="str">
        <f t="shared" si="17"/>
        <v xml:space="preserve"> </v>
      </c>
      <c r="U88" s="14" t="str">
        <f t="shared" si="17"/>
        <v xml:space="preserve"> </v>
      </c>
      <c r="V88" s="14" t="str">
        <f t="shared" si="17"/>
        <v xml:space="preserve"> </v>
      </c>
      <c r="W88" s="14" t="str">
        <f t="shared" si="17"/>
        <v xml:space="preserve"> </v>
      </c>
      <c r="X88" s="14"/>
      <c r="Y88" s="14"/>
    </row>
    <row r="89" spans="1:25" x14ac:dyDescent="0.3">
      <c r="A89" s="9" t="s">
        <v>1172</v>
      </c>
      <c r="B89" s="9">
        <f t="shared" ref="B89:B99" si="18">COUNT(D89:Y89)</f>
        <v>1</v>
      </c>
      <c r="C89" s="13">
        <f t="shared" ref="C89:C99" si="19">IF((B89&gt;0), 0, C74)</f>
        <v>0</v>
      </c>
      <c r="D89" s="14" t="str">
        <f t="shared" ref="D89:O89" si="20">IF((D44&lt;($B$100*D$6))," ", D44)</f>
        <v xml:space="preserve"> </v>
      </c>
      <c r="E89" s="14" t="str">
        <f t="shared" si="20"/>
        <v xml:space="preserve"> </v>
      </c>
      <c r="F89" s="14" t="str">
        <f t="shared" si="20"/>
        <v xml:space="preserve"> </v>
      </c>
      <c r="G89" s="14" t="str">
        <f t="shared" si="20"/>
        <v xml:space="preserve"> </v>
      </c>
      <c r="H89" s="14" t="str">
        <f t="shared" si="20"/>
        <v xml:space="preserve"> </v>
      </c>
      <c r="I89" s="14" t="str">
        <f t="shared" si="20"/>
        <v xml:space="preserve"> </v>
      </c>
      <c r="J89" s="14" t="str">
        <f t="shared" si="20"/>
        <v xml:space="preserve"> </v>
      </c>
      <c r="K89" s="14" t="str">
        <f t="shared" si="20"/>
        <v xml:space="preserve"> </v>
      </c>
      <c r="L89" s="14" t="str">
        <f t="shared" si="20"/>
        <v xml:space="preserve"> </v>
      </c>
      <c r="M89" s="14" t="str">
        <f t="shared" si="20"/>
        <v xml:space="preserve"> </v>
      </c>
      <c r="N89" s="14">
        <f t="shared" si="20"/>
        <v>16.8</v>
      </c>
      <c r="O89" s="14" t="str">
        <f t="shared" si="20"/>
        <v xml:space="preserve"> </v>
      </c>
      <c r="P89" s="14"/>
      <c r="Q89" s="14"/>
      <c r="R89" s="14" t="str">
        <f t="shared" si="17"/>
        <v xml:space="preserve"> </v>
      </c>
      <c r="S89" s="14" t="str">
        <f t="shared" si="17"/>
        <v xml:space="preserve"> </v>
      </c>
      <c r="T89" s="14" t="str">
        <f t="shared" si="17"/>
        <v xml:space="preserve"> </v>
      </c>
      <c r="U89" s="14" t="str">
        <f t="shared" si="17"/>
        <v xml:space="preserve"> </v>
      </c>
      <c r="V89" s="14" t="str">
        <f t="shared" si="17"/>
        <v xml:space="preserve"> </v>
      </c>
      <c r="W89" s="14" t="str">
        <f t="shared" si="17"/>
        <v xml:space="preserve"> </v>
      </c>
      <c r="X89" s="14"/>
      <c r="Y89" s="14"/>
    </row>
    <row r="90" spans="1:25" x14ac:dyDescent="0.3">
      <c r="A90" s="9" t="s">
        <v>1181</v>
      </c>
      <c r="B90" s="9">
        <f t="shared" si="18"/>
        <v>2</v>
      </c>
      <c r="C90" s="13">
        <f t="shared" si="19"/>
        <v>0</v>
      </c>
      <c r="D90" s="14" t="str">
        <f t="shared" ref="D90:O90" si="21">IF((D45&lt;($B$100*D$6))," ", D45)</f>
        <v xml:space="preserve"> </v>
      </c>
      <c r="E90" s="14" t="str">
        <f t="shared" si="21"/>
        <v xml:space="preserve"> </v>
      </c>
      <c r="F90" s="14" t="str">
        <f t="shared" si="21"/>
        <v xml:space="preserve"> </v>
      </c>
      <c r="G90" s="14" t="str">
        <f t="shared" si="21"/>
        <v xml:space="preserve"> </v>
      </c>
      <c r="H90" s="14" t="str">
        <f t="shared" si="21"/>
        <v xml:space="preserve"> </v>
      </c>
      <c r="I90" s="14" t="str">
        <f t="shared" si="21"/>
        <v xml:space="preserve"> </v>
      </c>
      <c r="J90" s="14" t="str">
        <f t="shared" si="21"/>
        <v xml:space="preserve"> </v>
      </c>
      <c r="K90" s="14" t="str">
        <f t="shared" si="21"/>
        <v xml:space="preserve"> </v>
      </c>
      <c r="L90" s="14" t="str">
        <f t="shared" si="21"/>
        <v xml:space="preserve"> </v>
      </c>
      <c r="M90" s="14" t="str">
        <f t="shared" si="21"/>
        <v xml:space="preserve"> </v>
      </c>
      <c r="N90" s="14" t="str">
        <f t="shared" si="21"/>
        <v xml:space="preserve"> </v>
      </c>
      <c r="O90" s="14" t="str">
        <f t="shared" si="21"/>
        <v xml:space="preserve"> </v>
      </c>
      <c r="P90" s="14"/>
      <c r="Q90" s="14"/>
      <c r="R90" s="14" t="str">
        <f t="shared" si="17"/>
        <v xml:space="preserve"> </v>
      </c>
      <c r="S90" s="14" t="str">
        <f t="shared" si="17"/>
        <v xml:space="preserve"> </v>
      </c>
      <c r="T90" s="14" t="str">
        <f t="shared" si="17"/>
        <v xml:space="preserve"> </v>
      </c>
      <c r="U90" s="14" t="str">
        <f t="shared" si="17"/>
        <v xml:space="preserve"> </v>
      </c>
      <c r="V90" s="14">
        <f t="shared" si="17"/>
        <v>265.8</v>
      </c>
      <c r="W90" s="14">
        <f t="shared" si="17"/>
        <v>339</v>
      </c>
      <c r="X90" s="14"/>
      <c r="Y90" s="14"/>
    </row>
    <row r="91" spans="1:25" x14ac:dyDescent="0.3">
      <c r="A91" s="9" t="s">
        <v>1203</v>
      </c>
      <c r="B91" s="9">
        <f t="shared" si="18"/>
        <v>3</v>
      </c>
      <c r="C91" s="13">
        <f t="shared" si="19"/>
        <v>0</v>
      </c>
      <c r="D91" s="14" t="str">
        <f t="shared" ref="D91:O91" si="22">IF((D46&lt;($B$100*D$6))," ", D46)</f>
        <v xml:space="preserve"> </v>
      </c>
      <c r="E91" s="14" t="str">
        <f t="shared" si="22"/>
        <v xml:space="preserve"> </v>
      </c>
      <c r="F91" s="14" t="str">
        <f t="shared" si="22"/>
        <v xml:space="preserve"> </v>
      </c>
      <c r="G91" s="14" t="str">
        <f t="shared" si="22"/>
        <v xml:space="preserve"> </v>
      </c>
      <c r="H91" s="14" t="str">
        <f t="shared" si="22"/>
        <v xml:space="preserve"> </v>
      </c>
      <c r="I91" s="14" t="str">
        <f t="shared" si="22"/>
        <v xml:space="preserve"> </v>
      </c>
      <c r="J91" s="14" t="str">
        <f t="shared" si="22"/>
        <v xml:space="preserve"> </v>
      </c>
      <c r="K91" s="14" t="str">
        <f t="shared" si="22"/>
        <v xml:space="preserve"> </v>
      </c>
      <c r="L91" s="14" t="str">
        <f t="shared" si="22"/>
        <v xml:space="preserve"> </v>
      </c>
      <c r="M91" s="14">
        <f t="shared" si="22"/>
        <v>24.6</v>
      </c>
      <c r="N91" s="14" t="str">
        <f t="shared" si="22"/>
        <v xml:space="preserve"> </v>
      </c>
      <c r="O91" s="14">
        <f t="shared" si="22"/>
        <v>27.2</v>
      </c>
      <c r="P91" s="14"/>
      <c r="Q91" s="14"/>
      <c r="R91" s="14" t="str">
        <f t="shared" si="17"/>
        <v xml:space="preserve"> </v>
      </c>
      <c r="S91" s="14" t="str">
        <f t="shared" si="17"/>
        <v xml:space="preserve"> </v>
      </c>
      <c r="T91" s="14" t="str">
        <f t="shared" si="17"/>
        <v xml:space="preserve"> </v>
      </c>
      <c r="U91" s="14" t="str">
        <f t="shared" si="17"/>
        <v xml:space="preserve"> </v>
      </c>
      <c r="V91" s="14" t="str">
        <f t="shared" si="17"/>
        <v xml:space="preserve"> </v>
      </c>
      <c r="W91" s="14">
        <f t="shared" si="17"/>
        <v>262.39999999999998</v>
      </c>
      <c r="X91" s="14"/>
      <c r="Y91" s="14"/>
    </row>
    <row r="92" spans="1:25" x14ac:dyDescent="0.3">
      <c r="A92" s="9" t="s">
        <v>2298</v>
      </c>
      <c r="B92" s="9">
        <f t="shared" si="18"/>
        <v>2</v>
      </c>
      <c r="C92" s="13">
        <f t="shared" si="19"/>
        <v>0</v>
      </c>
      <c r="D92" s="14" t="str">
        <f t="shared" ref="D92:O92" si="23">IF((D47&lt;($B$100*D$6))," ", D47)</f>
        <v xml:space="preserve"> </v>
      </c>
      <c r="E92" s="14" t="str">
        <f t="shared" si="23"/>
        <v xml:space="preserve"> </v>
      </c>
      <c r="F92" s="14" t="str">
        <f t="shared" si="23"/>
        <v xml:space="preserve"> </v>
      </c>
      <c r="G92" s="14" t="str">
        <f t="shared" si="23"/>
        <v xml:space="preserve"> </v>
      </c>
      <c r="H92" s="14" t="str">
        <f t="shared" si="23"/>
        <v xml:space="preserve"> </v>
      </c>
      <c r="I92" s="14" t="str">
        <f t="shared" si="23"/>
        <v xml:space="preserve"> </v>
      </c>
      <c r="J92" s="14" t="str">
        <f t="shared" si="23"/>
        <v xml:space="preserve"> </v>
      </c>
      <c r="K92" s="14" t="str">
        <f t="shared" si="23"/>
        <v xml:space="preserve"> </v>
      </c>
      <c r="L92" s="14" t="str">
        <f t="shared" si="23"/>
        <v xml:space="preserve"> </v>
      </c>
      <c r="M92" s="14">
        <f t="shared" si="23"/>
        <v>19.5</v>
      </c>
      <c r="N92" s="14" t="str">
        <f t="shared" si="23"/>
        <v xml:space="preserve"> </v>
      </c>
      <c r="O92" s="14">
        <f t="shared" si="23"/>
        <v>25.1</v>
      </c>
      <c r="P92" s="14"/>
      <c r="Q92" s="14"/>
      <c r="R92" s="14" t="str">
        <f t="shared" si="17"/>
        <v xml:space="preserve"> </v>
      </c>
      <c r="S92" s="14" t="str">
        <f t="shared" si="17"/>
        <v xml:space="preserve"> </v>
      </c>
      <c r="T92" s="14" t="str">
        <f t="shared" si="17"/>
        <v xml:space="preserve"> </v>
      </c>
      <c r="U92" s="14" t="str">
        <f t="shared" si="17"/>
        <v xml:space="preserve"> </v>
      </c>
      <c r="V92" s="14" t="str">
        <f t="shared" si="17"/>
        <v xml:space="preserve"> </v>
      </c>
      <c r="W92" s="14" t="str">
        <f t="shared" si="17"/>
        <v xml:space="preserve"> </v>
      </c>
      <c r="X92" s="14"/>
      <c r="Y92" s="14"/>
    </row>
    <row r="93" spans="1:25" x14ac:dyDescent="0.3">
      <c r="A93" s="9" t="s">
        <v>2299</v>
      </c>
      <c r="B93" s="9">
        <f t="shared" si="18"/>
        <v>1</v>
      </c>
      <c r="C93" s="13">
        <f t="shared" si="19"/>
        <v>0</v>
      </c>
      <c r="D93" s="14" t="str">
        <f t="shared" ref="D93:O93" si="24">IF((D48&lt;($B$100*D$6))," ", D48)</f>
        <v xml:space="preserve"> </v>
      </c>
      <c r="E93" s="14" t="str">
        <f t="shared" si="24"/>
        <v xml:space="preserve"> </v>
      </c>
      <c r="F93" s="14" t="str">
        <f t="shared" si="24"/>
        <v xml:space="preserve"> </v>
      </c>
      <c r="G93" s="14" t="str">
        <f t="shared" si="24"/>
        <v xml:space="preserve"> </v>
      </c>
      <c r="H93" s="14" t="str">
        <f t="shared" si="24"/>
        <v xml:space="preserve"> </v>
      </c>
      <c r="I93" s="14" t="str">
        <f t="shared" si="24"/>
        <v xml:space="preserve"> </v>
      </c>
      <c r="J93" s="14" t="str">
        <f t="shared" si="24"/>
        <v xml:space="preserve"> </v>
      </c>
      <c r="K93" s="14" t="str">
        <f t="shared" si="24"/>
        <v xml:space="preserve"> </v>
      </c>
      <c r="L93" s="14" t="str">
        <f t="shared" si="24"/>
        <v xml:space="preserve"> </v>
      </c>
      <c r="M93" s="14">
        <f t="shared" si="24"/>
        <v>15.5</v>
      </c>
      <c r="N93" s="14" t="str">
        <f t="shared" si="24"/>
        <v xml:space="preserve"> </v>
      </c>
      <c r="O93" s="14" t="str">
        <f t="shared" si="24"/>
        <v xml:space="preserve"> </v>
      </c>
      <c r="P93" s="14"/>
      <c r="Q93" s="14"/>
      <c r="R93" s="14" t="str">
        <f t="shared" si="17"/>
        <v xml:space="preserve"> </v>
      </c>
      <c r="S93" s="14" t="str">
        <f t="shared" si="17"/>
        <v xml:space="preserve"> </v>
      </c>
      <c r="T93" s="14" t="str">
        <f t="shared" si="17"/>
        <v xml:space="preserve"> </v>
      </c>
      <c r="U93" s="14" t="str">
        <f t="shared" si="17"/>
        <v xml:space="preserve"> </v>
      </c>
      <c r="V93" s="14" t="str">
        <f t="shared" si="17"/>
        <v xml:space="preserve"> </v>
      </c>
      <c r="W93" s="14" t="str">
        <f t="shared" si="17"/>
        <v xml:space="preserve"> </v>
      </c>
      <c r="X93" s="14"/>
      <c r="Y93" s="14"/>
    </row>
    <row r="94" spans="1:25" x14ac:dyDescent="0.3">
      <c r="A94" s="9" t="s">
        <v>2300</v>
      </c>
      <c r="B94" s="9">
        <f t="shared" si="18"/>
        <v>2</v>
      </c>
      <c r="C94" s="13">
        <f t="shared" si="19"/>
        <v>0</v>
      </c>
      <c r="D94" s="14" t="str">
        <f t="shared" ref="D94:O94" si="25">IF((D49&lt;($B$100*D$6))," ", D49)</f>
        <v xml:space="preserve"> </v>
      </c>
      <c r="E94" s="14" t="str">
        <f t="shared" si="25"/>
        <v xml:space="preserve"> </v>
      </c>
      <c r="F94" s="14" t="str">
        <f t="shared" si="25"/>
        <v xml:space="preserve"> </v>
      </c>
      <c r="G94" s="14" t="str">
        <f t="shared" si="25"/>
        <v xml:space="preserve"> </v>
      </c>
      <c r="H94" s="14" t="str">
        <f t="shared" si="25"/>
        <v xml:space="preserve"> </v>
      </c>
      <c r="I94" s="14" t="str">
        <f t="shared" si="25"/>
        <v xml:space="preserve"> </v>
      </c>
      <c r="J94" s="14" t="str">
        <f t="shared" si="25"/>
        <v xml:space="preserve"> </v>
      </c>
      <c r="K94" s="14" t="str">
        <f t="shared" si="25"/>
        <v xml:space="preserve"> </v>
      </c>
      <c r="L94" s="14" t="str">
        <f t="shared" si="25"/>
        <v xml:space="preserve"> </v>
      </c>
      <c r="M94" s="14" t="str">
        <f t="shared" si="25"/>
        <v xml:space="preserve"> </v>
      </c>
      <c r="N94" s="14" t="str">
        <f t="shared" si="25"/>
        <v xml:space="preserve"> </v>
      </c>
      <c r="O94" s="14" t="str">
        <f t="shared" si="25"/>
        <v xml:space="preserve"> </v>
      </c>
      <c r="P94" s="14"/>
      <c r="Q94" s="14"/>
      <c r="R94" s="14" t="str">
        <f t="shared" si="17"/>
        <v xml:space="preserve"> </v>
      </c>
      <c r="S94" s="14" t="str">
        <f t="shared" si="17"/>
        <v xml:space="preserve"> </v>
      </c>
      <c r="T94" s="14" t="str">
        <f t="shared" si="17"/>
        <v xml:space="preserve"> </v>
      </c>
      <c r="U94" s="14" t="str">
        <f t="shared" si="17"/>
        <v xml:space="preserve"> </v>
      </c>
      <c r="V94" s="14">
        <f t="shared" si="17"/>
        <v>155.30000000000001</v>
      </c>
      <c r="W94" s="14">
        <f t="shared" si="17"/>
        <v>243.7</v>
      </c>
      <c r="X94" s="14"/>
      <c r="Y94" s="14"/>
    </row>
    <row r="95" spans="1:25" x14ac:dyDescent="0.3">
      <c r="A95" s="9" t="s">
        <v>2301</v>
      </c>
      <c r="B95" s="9">
        <f t="shared" si="18"/>
        <v>1</v>
      </c>
      <c r="C95" s="13">
        <f t="shared" si="19"/>
        <v>0</v>
      </c>
      <c r="D95" s="14" t="str">
        <f t="shared" ref="D95:O95" si="26">IF((D50&lt;($B$100*D$6))," ", D50)</f>
        <v xml:space="preserve"> </v>
      </c>
      <c r="E95" s="14" t="str">
        <f t="shared" si="26"/>
        <v xml:space="preserve"> </v>
      </c>
      <c r="F95" s="14" t="str">
        <f t="shared" si="26"/>
        <v xml:space="preserve"> </v>
      </c>
      <c r="G95" s="14" t="str">
        <f t="shared" si="26"/>
        <v xml:space="preserve"> </v>
      </c>
      <c r="H95" s="14" t="str">
        <f t="shared" si="26"/>
        <v xml:space="preserve"> </v>
      </c>
      <c r="I95" s="14" t="str">
        <f t="shared" si="26"/>
        <v xml:space="preserve"> </v>
      </c>
      <c r="J95" s="14" t="str">
        <f t="shared" si="26"/>
        <v xml:space="preserve"> </v>
      </c>
      <c r="K95" s="14" t="str">
        <f t="shared" si="26"/>
        <v xml:space="preserve"> </v>
      </c>
      <c r="L95" s="14" t="str">
        <f t="shared" si="26"/>
        <v xml:space="preserve"> </v>
      </c>
      <c r="M95" s="14" t="str">
        <f t="shared" si="26"/>
        <v xml:space="preserve"> </v>
      </c>
      <c r="N95" s="14" t="str">
        <f t="shared" si="26"/>
        <v xml:space="preserve"> </v>
      </c>
      <c r="O95" s="14" t="str">
        <f t="shared" si="26"/>
        <v xml:space="preserve"> </v>
      </c>
      <c r="P95" s="14"/>
      <c r="Q95" s="14"/>
      <c r="R95" s="14" t="str">
        <f t="shared" si="17"/>
        <v xml:space="preserve"> </v>
      </c>
      <c r="S95" s="14" t="str">
        <f t="shared" si="17"/>
        <v xml:space="preserve"> </v>
      </c>
      <c r="T95" s="14" t="str">
        <f t="shared" si="17"/>
        <v xml:space="preserve"> </v>
      </c>
      <c r="U95" s="14">
        <f t="shared" si="17"/>
        <v>117.2</v>
      </c>
      <c r="V95" s="14" t="str">
        <f t="shared" si="17"/>
        <v xml:space="preserve"> </v>
      </c>
      <c r="W95" s="14" t="str">
        <f t="shared" si="17"/>
        <v xml:space="preserve"> </v>
      </c>
      <c r="X95" s="14"/>
      <c r="Y95" s="14"/>
    </row>
    <row r="96" spans="1:25" x14ac:dyDescent="0.3">
      <c r="A96" s="9" t="s">
        <v>2302</v>
      </c>
      <c r="B96" s="9">
        <f t="shared" si="18"/>
        <v>1</v>
      </c>
      <c r="C96" s="13">
        <f t="shared" si="19"/>
        <v>0</v>
      </c>
      <c r="D96" s="14" t="str">
        <f t="shared" ref="D96:O96" si="27">IF((D51&lt;($B$100*D$6))," ", D51)</f>
        <v xml:space="preserve"> </v>
      </c>
      <c r="E96" s="14" t="str">
        <f t="shared" si="27"/>
        <v xml:space="preserve"> </v>
      </c>
      <c r="F96" s="14" t="str">
        <f t="shared" si="27"/>
        <v xml:space="preserve"> </v>
      </c>
      <c r="G96" s="14" t="str">
        <f t="shared" si="27"/>
        <v xml:space="preserve"> </v>
      </c>
      <c r="H96" s="14" t="str">
        <f t="shared" si="27"/>
        <v xml:space="preserve"> </v>
      </c>
      <c r="I96" s="14">
        <f t="shared" si="27"/>
        <v>2420</v>
      </c>
      <c r="J96" s="14" t="str">
        <f t="shared" si="27"/>
        <v xml:space="preserve"> </v>
      </c>
      <c r="K96" s="14" t="str">
        <f t="shared" si="27"/>
        <v xml:space="preserve"> </v>
      </c>
      <c r="L96" s="14" t="str">
        <f t="shared" si="27"/>
        <v xml:space="preserve"> </v>
      </c>
      <c r="M96" s="14" t="str">
        <f t="shared" si="27"/>
        <v xml:space="preserve"> </v>
      </c>
      <c r="N96" s="14" t="str">
        <f t="shared" si="27"/>
        <v xml:space="preserve"> </v>
      </c>
      <c r="O96" s="14" t="str">
        <f t="shared" si="27"/>
        <v xml:space="preserve"> </v>
      </c>
      <c r="P96" s="14"/>
      <c r="Q96" s="14"/>
      <c r="R96" s="14" t="str">
        <f t="shared" si="17"/>
        <v xml:space="preserve"> </v>
      </c>
      <c r="S96" s="14" t="str">
        <f t="shared" si="17"/>
        <v xml:space="preserve"> </v>
      </c>
      <c r="T96" s="14" t="str">
        <f t="shared" si="17"/>
        <v xml:space="preserve"> </v>
      </c>
      <c r="U96" s="14" t="str">
        <f t="shared" si="17"/>
        <v xml:space="preserve"> </v>
      </c>
      <c r="V96" s="14" t="str">
        <f t="shared" si="17"/>
        <v xml:space="preserve"> </v>
      </c>
      <c r="W96" s="14" t="str">
        <f t="shared" si="17"/>
        <v xml:space="preserve"> </v>
      </c>
      <c r="X96" s="14"/>
      <c r="Y96" s="14"/>
    </row>
    <row r="97" spans="1:25" x14ac:dyDescent="0.3">
      <c r="A97" s="9" t="s">
        <v>2303</v>
      </c>
      <c r="B97" s="9">
        <f t="shared" si="18"/>
        <v>0</v>
      </c>
      <c r="C97" s="13">
        <f t="shared" si="19"/>
        <v>0.06</v>
      </c>
      <c r="D97" s="14" t="str">
        <f t="shared" ref="D97:O97" si="28">IF((D52&lt;($B$100*D$6))," ", D52)</f>
        <v xml:space="preserve"> </v>
      </c>
      <c r="E97" s="14" t="str">
        <f t="shared" si="28"/>
        <v xml:space="preserve"> </v>
      </c>
      <c r="F97" s="14" t="str">
        <f t="shared" si="28"/>
        <v xml:space="preserve"> </v>
      </c>
      <c r="G97" s="14" t="str">
        <f t="shared" si="28"/>
        <v xml:space="preserve"> </v>
      </c>
      <c r="H97" s="14" t="str">
        <f t="shared" si="28"/>
        <v xml:space="preserve"> </v>
      </c>
      <c r="I97" s="14" t="str">
        <f t="shared" si="28"/>
        <v xml:space="preserve"> </v>
      </c>
      <c r="J97" s="14" t="str">
        <f t="shared" si="28"/>
        <v xml:space="preserve"> </v>
      </c>
      <c r="K97" s="14" t="str">
        <f t="shared" si="28"/>
        <v xml:space="preserve"> </v>
      </c>
      <c r="L97" s="14" t="str">
        <f t="shared" si="28"/>
        <v xml:space="preserve"> </v>
      </c>
      <c r="M97" s="14" t="str">
        <f t="shared" si="28"/>
        <v xml:space="preserve"> </v>
      </c>
      <c r="N97" s="14" t="str">
        <f t="shared" si="28"/>
        <v xml:space="preserve"> </v>
      </c>
      <c r="O97" s="14" t="str">
        <f t="shared" si="28"/>
        <v xml:space="preserve"> </v>
      </c>
      <c r="P97" s="14"/>
      <c r="Q97" s="14"/>
      <c r="R97" s="14" t="str">
        <f t="shared" si="17"/>
        <v xml:space="preserve"> </v>
      </c>
      <c r="S97" s="14" t="str">
        <f t="shared" si="17"/>
        <v xml:space="preserve"> </v>
      </c>
      <c r="T97" s="14" t="str">
        <f t="shared" si="17"/>
        <v xml:space="preserve"> </v>
      </c>
      <c r="U97" s="14" t="str">
        <f t="shared" si="17"/>
        <v xml:space="preserve"> </v>
      </c>
      <c r="V97" s="14" t="str">
        <f t="shared" si="17"/>
        <v xml:space="preserve"> </v>
      </c>
      <c r="W97" s="14" t="str">
        <f t="shared" si="17"/>
        <v xml:space="preserve"> </v>
      </c>
      <c r="X97" s="14"/>
      <c r="Y97" s="14"/>
    </row>
    <row r="98" spans="1:25" x14ac:dyDescent="0.3">
      <c r="A98" s="9" t="s">
        <v>2304</v>
      </c>
      <c r="B98" s="9">
        <f t="shared" si="18"/>
        <v>2</v>
      </c>
      <c r="C98" s="13">
        <f t="shared" si="19"/>
        <v>0</v>
      </c>
      <c r="D98" s="14" t="str">
        <f t="shared" ref="D98:O98" si="29">IF((D53&lt;($B$100*D$6))," ", D53)</f>
        <v xml:space="preserve"> </v>
      </c>
      <c r="E98" s="14" t="str">
        <f t="shared" si="29"/>
        <v xml:space="preserve"> </v>
      </c>
      <c r="F98" s="14" t="str">
        <f t="shared" si="29"/>
        <v xml:space="preserve"> </v>
      </c>
      <c r="G98" s="14" t="str">
        <f t="shared" si="29"/>
        <v xml:space="preserve"> </v>
      </c>
      <c r="H98" s="14" t="str">
        <f t="shared" si="29"/>
        <v xml:space="preserve"> </v>
      </c>
      <c r="I98" s="14">
        <f t="shared" si="29"/>
        <v>2420</v>
      </c>
      <c r="J98" s="14" t="str">
        <f t="shared" si="29"/>
        <v xml:space="preserve"> </v>
      </c>
      <c r="K98" s="14" t="str">
        <f t="shared" si="29"/>
        <v xml:space="preserve"> </v>
      </c>
      <c r="L98" s="14" t="str">
        <f t="shared" si="29"/>
        <v xml:space="preserve"> </v>
      </c>
      <c r="M98" s="14" t="str">
        <f t="shared" si="29"/>
        <v xml:space="preserve"> </v>
      </c>
      <c r="N98" s="14" t="str">
        <f t="shared" si="29"/>
        <v xml:space="preserve"> </v>
      </c>
      <c r="O98" s="14" t="str">
        <f t="shared" si="29"/>
        <v xml:space="preserve"> </v>
      </c>
      <c r="P98" s="14"/>
      <c r="Q98" s="14"/>
      <c r="R98" s="14" t="str">
        <f t="shared" si="17"/>
        <v xml:space="preserve"> </v>
      </c>
      <c r="S98" s="14" t="str">
        <f t="shared" si="17"/>
        <v xml:space="preserve"> </v>
      </c>
      <c r="T98" s="14" t="str">
        <f t="shared" si="17"/>
        <v xml:space="preserve"> </v>
      </c>
      <c r="U98" s="14">
        <f t="shared" si="17"/>
        <v>285.8</v>
      </c>
      <c r="V98" s="14" t="str">
        <f t="shared" si="17"/>
        <v xml:space="preserve"> </v>
      </c>
      <c r="W98" s="14" t="str">
        <f t="shared" si="17"/>
        <v xml:space="preserve"> </v>
      </c>
      <c r="X98" s="14"/>
      <c r="Y98" s="14"/>
    </row>
    <row r="99" spans="1:25" x14ac:dyDescent="0.3">
      <c r="A99" s="9" t="s">
        <v>2305</v>
      </c>
      <c r="B99" s="9">
        <f t="shared" si="18"/>
        <v>2</v>
      </c>
      <c r="C99" s="13">
        <f t="shared" si="19"/>
        <v>0</v>
      </c>
      <c r="D99" s="14" t="str">
        <f t="shared" ref="D99:O99" si="30">IF((D54&lt;($B$100*D$6))," ", D54)</f>
        <v xml:space="preserve"> </v>
      </c>
      <c r="E99" s="14" t="str">
        <f t="shared" si="30"/>
        <v xml:space="preserve"> </v>
      </c>
      <c r="F99" s="14" t="str">
        <f t="shared" si="30"/>
        <v xml:space="preserve"> </v>
      </c>
      <c r="G99" s="14" t="str">
        <f t="shared" si="30"/>
        <v xml:space="preserve"> </v>
      </c>
      <c r="H99" s="14">
        <f t="shared" si="30"/>
        <v>899</v>
      </c>
      <c r="I99" s="14">
        <f t="shared" si="30"/>
        <v>2828</v>
      </c>
      <c r="J99" s="14" t="str">
        <f t="shared" si="30"/>
        <v xml:space="preserve"> </v>
      </c>
      <c r="K99" s="14" t="str">
        <f t="shared" si="30"/>
        <v xml:space="preserve"> </v>
      </c>
      <c r="L99" s="14" t="str">
        <f t="shared" si="30"/>
        <v xml:space="preserve"> </v>
      </c>
      <c r="M99" s="14" t="str">
        <f t="shared" si="30"/>
        <v xml:space="preserve"> </v>
      </c>
      <c r="N99" s="14" t="str">
        <f t="shared" si="30"/>
        <v xml:space="preserve"> </v>
      </c>
      <c r="O99" s="14" t="str">
        <f t="shared" si="30"/>
        <v xml:space="preserve"> </v>
      </c>
      <c r="P99" s="14"/>
      <c r="Q99" s="14"/>
      <c r="R99" s="14" t="str">
        <f t="shared" si="17"/>
        <v xml:space="preserve"> </v>
      </c>
      <c r="S99" s="14" t="str">
        <f t="shared" si="17"/>
        <v xml:space="preserve"> </v>
      </c>
      <c r="T99" s="14" t="str">
        <f t="shared" si="17"/>
        <v xml:space="preserve"> </v>
      </c>
      <c r="U99" s="14" t="str">
        <f t="shared" si="17"/>
        <v xml:space="preserve"> </v>
      </c>
      <c r="V99" s="14" t="str">
        <f t="shared" si="17"/>
        <v xml:space="preserve"> </v>
      </c>
      <c r="W99" s="14" t="str">
        <f t="shared" si="17"/>
        <v xml:space="preserve"> </v>
      </c>
      <c r="X99" s="14"/>
      <c r="Y99" s="14"/>
    </row>
    <row r="100" spans="1:25" x14ac:dyDescent="0.3">
      <c r="B100" s="9">
        <v>5</v>
      </c>
      <c r="C100" s="10">
        <f>SUM(C88:C99)/12</f>
        <v>5.0000000000000001E-3</v>
      </c>
    </row>
    <row r="102" spans="1:25" ht="28.8" x14ac:dyDescent="0.3">
      <c r="A102" t="s">
        <v>2440</v>
      </c>
      <c r="B102" s="15" t="s">
        <v>2436</v>
      </c>
      <c r="C102" s="15" t="s">
        <v>2438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x14ac:dyDescent="0.3">
      <c r="A103" s="9" t="s">
        <v>2306</v>
      </c>
      <c r="B103" s="9">
        <f>COUNT(D103:Y103)</f>
        <v>5</v>
      </c>
      <c r="C103" s="9">
        <v>4.4999999999999998E-2</v>
      </c>
      <c r="D103" s="14" t="str">
        <f t="shared" ref="D103:D111" si="31">IF((D57&lt;D$6)," ", D57)</f>
        <v xml:space="preserve"> </v>
      </c>
      <c r="E103" s="14" t="str">
        <f t="shared" ref="E103:O103" si="32">IF((E57&lt;E$6)," ", E57)</f>
        <v xml:space="preserve"> </v>
      </c>
      <c r="F103" s="14" t="str">
        <f t="shared" si="32"/>
        <v xml:space="preserve"> </v>
      </c>
      <c r="G103" s="14" t="str">
        <f t="shared" si="32"/>
        <v xml:space="preserve"> </v>
      </c>
      <c r="H103" s="14">
        <f t="shared" si="32"/>
        <v>1022</v>
      </c>
      <c r="I103" s="14">
        <f t="shared" si="32"/>
        <v>4840</v>
      </c>
      <c r="J103" s="14" t="str">
        <f t="shared" si="32"/>
        <v xml:space="preserve"> </v>
      </c>
      <c r="K103" s="14" t="str">
        <f t="shared" si="32"/>
        <v xml:space="preserve"> </v>
      </c>
      <c r="L103" s="14">
        <f t="shared" si="32"/>
        <v>3.2</v>
      </c>
      <c r="M103" s="14" t="str">
        <f t="shared" si="32"/>
        <v xml:space="preserve"> </v>
      </c>
      <c r="N103" s="14" t="str">
        <f t="shared" si="32"/>
        <v xml:space="preserve"> </v>
      </c>
      <c r="O103" s="14" t="str">
        <f t="shared" si="32"/>
        <v xml:space="preserve"> </v>
      </c>
      <c r="P103" s="14"/>
      <c r="Q103" s="14" t="str">
        <f>IF((Q57&gt;Q$6)," ", Q57)</f>
        <v xml:space="preserve"> </v>
      </c>
      <c r="R103" s="14" t="str">
        <f t="shared" ref="R103:W103" si="33">IF((R57&lt;R$6)," ", R57)</f>
        <v xml:space="preserve"> </v>
      </c>
      <c r="S103" s="14" t="str">
        <f t="shared" si="33"/>
        <v xml:space="preserve"> </v>
      </c>
      <c r="T103" s="14">
        <f t="shared" si="33"/>
        <v>20.399999999999999</v>
      </c>
      <c r="U103" s="14">
        <f t="shared" si="33"/>
        <v>23.2</v>
      </c>
      <c r="V103" s="14" t="str">
        <f t="shared" si="33"/>
        <v xml:space="preserve"> </v>
      </c>
      <c r="W103" s="14" t="str">
        <f t="shared" si="33"/>
        <v xml:space="preserve"> </v>
      </c>
      <c r="X103" s="14" t="str">
        <f>IF((X76&gt;X$6)," ", X76)</f>
        <v xml:space="preserve"> </v>
      </c>
      <c r="Y103" s="14" t="str">
        <f t="shared" ref="Y103" si="34">IF((Y76&lt;Y$6)," ", Y76)</f>
        <v xml:space="preserve"> </v>
      </c>
    </row>
    <row r="104" spans="1:25" x14ac:dyDescent="0.3">
      <c r="A104" s="9" t="s">
        <v>2307</v>
      </c>
      <c r="B104" s="9">
        <f t="shared" ref="B104:B114" si="35">COUNT(D104:Y104)</f>
        <v>2</v>
      </c>
      <c r="C104" s="9">
        <v>7.4999999999999997E-2</v>
      </c>
      <c r="D104" s="14" t="str">
        <f t="shared" si="31"/>
        <v xml:space="preserve"> </v>
      </c>
      <c r="E104" s="14" t="str">
        <f t="shared" ref="E104:O104" si="36">IF((E58&lt;E$6)," ", E58)</f>
        <v xml:space="preserve"> </v>
      </c>
      <c r="F104" s="14" t="str">
        <f t="shared" si="36"/>
        <v xml:space="preserve"> </v>
      </c>
      <c r="G104" s="14" t="str">
        <f t="shared" si="36"/>
        <v xml:space="preserve"> </v>
      </c>
      <c r="H104" s="14" t="str">
        <f t="shared" si="36"/>
        <v xml:space="preserve"> </v>
      </c>
      <c r="I104" s="14" t="str">
        <f t="shared" si="36"/>
        <v xml:space="preserve"> </v>
      </c>
      <c r="J104" s="14" t="str">
        <f t="shared" si="36"/>
        <v xml:space="preserve"> </v>
      </c>
      <c r="K104" s="14" t="str">
        <f t="shared" si="36"/>
        <v xml:space="preserve"> </v>
      </c>
      <c r="L104" s="14">
        <f t="shared" si="36"/>
        <v>2.5</v>
      </c>
      <c r="M104" s="14" t="str">
        <f t="shared" si="36"/>
        <v xml:space="preserve"> </v>
      </c>
      <c r="N104" s="14" t="str">
        <f t="shared" si="36"/>
        <v xml:space="preserve"> </v>
      </c>
      <c r="O104" s="14" t="str">
        <f t="shared" si="36"/>
        <v xml:space="preserve"> </v>
      </c>
      <c r="P104" s="14"/>
      <c r="Q104" s="14" t="str">
        <f>IF((Q58&gt;Q$6)," ", Q58)</f>
        <v xml:space="preserve"> </v>
      </c>
      <c r="R104" s="14" t="str">
        <f t="shared" ref="R104:W104" si="37">IF((R58&lt;R$6)," ", R58)</f>
        <v xml:space="preserve"> </v>
      </c>
      <c r="S104" s="14" t="str">
        <f t="shared" si="37"/>
        <v xml:space="preserve"> </v>
      </c>
      <c r="T104" s="14">
        <f t="shared" si="37"/>
        <v>17.399999999999999</v>
      </c>
      <c r="U104" s="14" t="str">
        <f t="shared" si="37"/>
        <v xml:space="preserve"> </v>
      </c>
      <c r="V104" s="14" t="str">
        <f t="shared" si="37"/>
        <v xml:space="preserve"> </v>
      </c>
      <c r="W104" s="14" t="str">
        <f t="shared" si="37"/>
        <v xml:space="preserve"> </v>
      </c>
      <c r="X104" s="14" t="str">
        <f t="shared" ref="X104:X114" si="38">IF((X77&gt;X$6)," ", X77)</f>
        <v xml:space="preserve"> </v>
      </c>
      <c r="Y104" s="14" t="str">
        <f t="shared" ref="Y104" si="39">IF((Y77&lt;Y$6)," ", Y77)</f>
        <v xml:space="preserve"> </v>
      </c>
    </row>
    <row r="105" spans="1:25" x14ac:dyDescent="0.3">
      <c r="A105" s="9" t="s">
        <v>2308</v>
      </c>
      <c r="B105" s="9">
        <f t="shared" si="35"/>
        <v>2</v>
      </c>
      <c r="C105" s="9">
        <v>7.4999999999999997E-2</v>
      </c>
      <c r="D105" s="14" t="str">
        <f t="shared" si="31"/>
        <v xml:space="preserve"> </v>
      </c>
      <c r="E105" s="14" t="str">
        <f t="shared" ref="E105:O105" si="40">IF((E59&lt;E$6)," ", E59)</f>
        <v xml:space="preserve"> </v>
      </c>
      <c r="F105" s="14" t="str">
        <f t="shared" si="40"/>
        <v xml:space="preserve"> </v>
      </c>
      <c r="G105" s="14" t="str">
        <f t="shared" si="40"/>
        <v xml:space="preserve"> </v>
      </c>
      <c r="H105" s="14" t="str">
        <f t="shared" si="40"/>
        <v xml:space="preserve"> </v>
      </c>
      <c r="I105" s="14" t="str">
        <f t="shared" si="40"/>
        <v xml:space="preserve"> </v>
      </c>
      <c r="J105" s="14" t="str">
        <f t="shared" si="40"/>
        <v xml:space="preserve"> </v>
      </c>
      <c r="K105" s="14" t="str">
        <f t="shared" si="40"/>
        <v xml:space="preserve"> </v>
      </c>
      <c r="L105" s="14" t="str">
        <f t="shared" si="40"/>
        <v xml:space="preserve"> </v>
      </c>
      <c r="M105" s="14" t="str">
        <f t="shared" si="40"/>
        <v xml:space="preserve"> </v>
      </c>
      <c r="N105" s="14" t="str">
        <f t="shared" si="40"/>
        <v xml:space="preserve"> </v>
      </c>
      <c r="O105" s="14" t="str">
        <f t="shared" si="40"/>
        <v xml:space="preserve"> </v>
      </c>
      <c r="P105" s="14" t="str">
        <f>IF((P59&gt;P$6)," ", P59)</f>
        <v xml:space="preserve"> </v>
      </c>
      <c r="Q105" s="14"/>
      <c r="R105" s="14" t="str">
        <f t="shared" ref="R105:W105" si="41">IF((R59&lt;R$6)," ", R59)</f>
        <v xml:space="preserve"> </v>
      </c>
      <c r="S105" s="14" t="str">
        <f t="shared" si="41"/>
        <v xml:space="preserve"> </v>
      </c>
      <c r="T105" s="14">
        <f t="shared" si="41"/>
        <v>25.6</v>
      </c>
      <c r="U105" s="14">
        <f t="shared" si="41"/>
        <v>38.200000000000003</v>
      </c>
      <c r="V105" s="14" t="str">
        <f t="shared" si="41"/>
        <v xml:space="preserve"> </v>
      </c>
      <c r="W105" s="14" t="str">
        <f t="shared" si="41"/>
        <v xml:space="preserve"> </v>
      </c>
      <c r="X105" s="14" t="str">
        <f t="shared" si="38"/>
        <v xml:space="preserve"> </v>
      </c>
      <c r="Y105" s="14" t="str">
        <f t="shared" ref="Y105" si="42">IF((Y78&lt;Y$6)," ", Y78)</f>
        <v xml:space="preserve"> </v>
      </c>
    </row>
    <row r="106" spans="1:25" x14ac:dyDescent="0.3">
      <c r="A106" s="9" t="s">
        <v>2262</v>
      </c>
      <c r="B106" s="9">
        <f t="shared" si="35"/>
        <v>3</v>
      </c>
      <c r="C106" s="9">
        <v>0.06</v>
      </c>
      <c r="D106" s="14" t="str">
        <f t="shared" si="31"/>
        <v xml:space="preserve"> </v>
      </c>
      <c r="E106" s="14" t="str">
        <f t="shared" ref="E106:O106" si="43">IF((E60&lt;E$6)," ", E60)</f>
        <v xml:space="preserve"> </v>
      </c>
      <c r="F106" s="14" t="str">
        <f t="shared" si="43"/>
        <v xml:space="preserve"> </v>
      </c>
      <c r="G106" s="14" t="str">
        <f t="shared" si="43"/>
        <v xml:space="preserve"> </v>
      </c>
      <c r="H106" s="14" t="str">
        <f t="shared" si="43"/>
        <v xml:space="preserve"> </v>
      </c>
      <c r="I106" s="14" t="str">
        <f t="shared" si="43"/>
        <v xml:space="preserve"> </v>
      </c>
      <c r="J106" s="14" t="str">
        <f t="shared" si="43"/>
        <v xml:space="preserve"> </v>
      </c>
      <c r="K106" s="14" t="str">
        <f t="shared" si="43"/>
        <v xml:space="preserve"> </v>
      </c>
      <c r="L106" s="14" t="str">
        <f t="shared" si="43"/>
        <v xml:space="preserve"> </v>
      </c>
      <c r="M106" s="14">
        <f t="shared" si="43"/>
        <v>4</v>
      </c>
      <c r="N106" s="14" t="str">
        <f t="shared" si="43"/>
        <v xml:space="preserve"> </v>
      </c>
      <c r="O106" s="14" t="str">
        <f t="shared" si="43"/>
        <v xml:space="preserve"> </v>
      </c>
      <c r="P106" s="14" t="str">
        <f>IF((P60&gt;P$6)," ", P60)</f>
        <v xml:space="preserve"> </v>
      </c>
      <c r="Q106" s="14"/>
      <c r="R106" s="14" t="str">
        <f t="shared" ref="R106:W106" si="44">IF((R60&lt;R$6)," ", R60)</f>
        <v xml:space="preserve"> </v>
      </c>
      <c r="S106" s="14" t="str">
        <f t="shared" si="44"/>
        <v xml:space="preserve"> </v>
      </c>
      <c r="T106" s="14">
        <f t="shared" si="44"/>
        <v>63</v>
      </c>
      <c r="U106" s="14">
        <f t="shared" si="44"/>
        <v>63</v>
      </c>
      <c r="V106" s="14" t="str">
        <f t="shared" si="44"/>
        <v xml:space="preserve"> </v>
      </c>
      <c r="W106" s="14" t="str">
        <f t="shared" si="44"/>
        <v xml:space="preserve"> </v>
      </c>
      <c r="X106" s="14" t="str">
        <f t="shared" si="38"/>
        <v xml:space="preserve"> </v>
      </c>
      <c r="Y106" s="14" t="str">
        <f t="shared" ref="Y106" si="45">IF((Y79&lt;Y$6)," ", Y79)</f>
        <v xml:space="preserve"> </v>
      </c>
    </row>
    <row r="107" spans="1:25" x14ac:dyDescent="0.3">
      <c r="A107" s="9" t="s">
        <v>2266</v>
      </c>
      <c r="B107" s="9">
        <f t="shared" si="35"/>
        <v>6</v>
      </c>
      <c r="C107" s="9">
        <v>4.4999999999999998E-2</v>
      </c>
      <c r="D107" s="14">
        <f t="shared" si="31"/>
        <v>12.6</v>
      </c>
      <c r="E107" s="14">
        <f t="shared" ref="E107:O107" si="46">IF((E61&lt;E$6)," ", E61)</f>
        <v>17.2</v>
      </c>
      <c r="F107" s="14" t="str">
        <f t="shared" si="46"/>
        <v xml:space="preserve"> </v>
      </c>
      <c r="G107" s="14" t="str">
        <f t="shared" si="46"/>
        <v xml:space="preserve"> </v>
      </c>
      <c r="H107" s="14" t="str">
        <f t="shared" si="46"/>
        <v xml:space="preserve"> </v>
      </c>
      <c r="I107" s="14" t="str">
        <f t="shared" si="46"/>
        <v xml:space="preserve"> </v>
      </c>
      <c r="J107" s="14" t="str">
        <f t="shared" si="46"/>
        <v xml:space="preserve"> </v>
      </c>
      <c r="K107" s="14" t="str">
        <f t="shared" si="46"/>
        <v xml:space="preserve"> </v>
      </c>
      <c r="L107" s="14" t="str">
        <f t="shared" si="46"/>
        <v xml:space="preserve"> </v>
      </c>
      <c r="M107" s="14">
        <f t="shared" si="46"/>
        <v>17.5</v>
      </c>
      <c r="N107" s="14" t="str">
        <f t="shared" si="46"/>
        <v xml:space="preserve"> </v>
      </c>
      <c r="O107" s="14">
        <f t="shared" si="46"/>
        <v>17.8</v>
      </c>
      <c r="P107" s="14" t="str">
        <f>IF((P61&gt;P$6)," ", P61)</f>
        <v xml:space="preserve"> </v>
      </c>
      <c r="Q107" s="14"/>
      <c r="R107" s="14" t="str">
        <f t="shared" ref="R107:W107" si="47">IF((R61&lt;R$6)," ", R61)</f>
        <v xml:space="preserve"> </v>
      </c>
      <c r="S107" s="14" t="str">
        <f t="shared" si="47"/>
        <v xml:space="preserve"> </v>
      </c>
      <c r="T107" s="14">
        <f t="shared" si="47"/>
        <v>24.4</v>
      </c>
      <c r="U107" s="14">
        <f t="shared" si="47"/>
        <v>38.9</v>
      </c>
      <c r="V107" s="14" t="str">
        <f t="shared" si="47"/>
        <v xml:space="preserve"> </v>
      </c>
      <c r="W107" s="14" t="str">
        <f t="shared" si="47"/>
        <v xml:space="preserve"> </v>
      </c>
      <c r="X107" s="14" t="str">
        <f t="shared" si="38"/>
        <v xml:space="preserve"> </v>
      </c>
      <c r="Y107" s="14" t="str">
        <f t="shared" ref="Y107" si="48">IF((Y80&lt;Y$6)," ", Y80)</f>
        <v xml:space="preserve"> </v>
      </c>
    </row>
    <row r="108" spans="1:25" x14ac:dyDescent="0.3">
      <c r="A108" s="9" t="s">
        <v>2271</v>
      </c>
      <c r="B108" s="9">
        <f t="shared" si="35"/>
        <v>6</v>
      </c>
      <c r="C108" s="9">
        <v>4.4999999999999998E-2</v>
      </c>
      <c r="D108" s="14">
        <f t="shared" si="31"/>
        <v>16.3</v>
      </c>
      <c r="E108" s="14">
        <f t="shared" ref="E108:O108" si="49">IF((E62&lt;E$6)," ", E62)</f>
        <v>20.9</v>
      </c>
      <c r="F108" s="14" t="str">
        <f t="shared" si="49"/>
        <v xml:space="preserve"> </v>
      </c>
      <c r="G108" s="14" t="str">
        <f t="shared" si="49"/>
        <v xml:space="preserve"> </v>
      </c>
      <c r="H108" s="14" t="str">
        <f t="shared" si="49"/>
        <v xml:space="preserve"> </v>
      </c>
      <c r="I108" s="14" t="str">
        <f t="shared" si="49"/>
        <v xml:space="preserve"> </v>
      </c>
      <c r="J108" s="14" t="str">
        <f t="shared" si="49"/>
        <v xml:space="preserve"> </v>
      </c>
      <c r="K108" s="14" t="str">
        <f t="shared" si="49"/>
        <v xml:space="preserve"> </v>
      </c>
      <c r="L108" s="14" t="str">
        <f t="shared" si="49"/>
        <v xml:space="preserve"> </v>
      </c>
      <c r="M108" s="14">
        <f t="shared" si="49"/>
        <v>19.3</v>
      </c>
      <c r="N108" s="14" t="str">
        <f t="shared" si="49"/>
        <v xml:space="preserve"> </v>
      </c>
      <c r="O108" s="14">
        <f t="shared" si="49"/>
        <v>21.7</v>
      </c>
      <c r="P108" s="14" t="str">
        <f>IF((P62&gt;P$6)," ", P62)</f>
        <v xml:space="preserve"> </v>
      </c>
      <c r="Q108" s="14"/>
      <c r="R108" s="14" t="str">
        <f t="shared" ref="R108:W108" si="50">IF((R62&lt;R$6)," ", R62)</f>
        <v xml:space="preserve"> </v>
      </c>
      <c r="S108" s="14" t="str">
        <f t="shared" si="50"/>
        <v xml:space="preserve"> </v>
      </c>
      <c r="T108" s="14">
        <f t="shared" si="50"/>
        <v>82.5</v>
      </c>
      <c r="U108" s="14">
        <f t="shared" si="50"/>
        <v>230.3</v>
      </c>
      <c r="V108" s="14" t="str">
        <f t="shared" si="50"/>
        <v xml:space="preserve"> </v>
      </c>
      <c r="W108" s="14" t="str">
        <f t="shared" si="50"/>
        <v xml:space="preserve"> </v>
      </c>
      <c r="X108" s="14" t="str">
        <f t="shared" si="38"/>
        <v xml:space="preserve"> </v>
      </c>
      <c r="Y108" s="14" t="str">
        <f t="shared" ref="Y108" si="51">IF((Y81&lt;Y$6)," ", Y81)</f>
        <v xml:space="preserve"> </v>
      </c>
    </row>
    <row r="109" spans="1:25" x14ac:dyDescent="0.3">
      <c r="A109" s="9" t="s">
        <v>2277</v>
      </c>
      <c r="B109" s="9">
        <f t="shared" si="35"/>
        <v>6</v>
      </c>
      <c r="C109" s="9">
        <v>4.4999999999999998E-2</v>
      </c>
      <c r="D109" s="14">
        <f t="shared" si="31"/>
        <v>19.3</v>
      </c>
      <c r="E109" s="14">
        <f t="shared" ref="E109:O109" si="52">IF((E63&lt;E$6)," ", E63)</f>
        <v>29</v>
      </c>
      <c r="F109" s="14" t="str">
        <f t="shared" si="52"/>
        <v xml:space="preserve"> </v>
      </c>
      <c r="G109" s="14" t="str">
        <f t="shared" si="52"/>
        <v xml:space="preserve"> </v>
      </c>
      <c r="H109" s="14" t="str">
        <f t="shared" si="52"/>
        <v xml:space="preserve"> </v>
      </c>
      <c r="I109" s="14" t="str">
        <f t="shared" si="52"/>
        <v xml:space="preserve"> </v>
      </c>
      <c r="J109" s="14" t="str">
        <f t="shared" si="52"/>
        <v xml:space="preserve"> </v>
      </c>
      <c r="K109" s="14" t="str">
        <f t="shared" si="52"/>
        <v xml:space="preserve"> </v>
      </c>
      <c r="L109" s="14" t="str">
        <f t="shared" si="52"/>
        <v xml:space="preserve"> </v>
      </c>
      <c r="M109" s="14">
        <f t="shared" si="52"/>
        <v>18.399999999999999</v>
      </c>
      <c r="N109" s="14" t="str">
        <f t="shared" si="52"/>
        <v xml:space="preserve"> </v>
      </c>
      <c r="O109" s="14">
        <f t="shared" si="52"/>
        <v>19.3</v>
      </c>
      <c r="P109" s="14" t="str">
        <f>IF((P63&gt;P$6)," ", P63)</f>
        <v xml:space="preserve"> </v>
      </c>
      <c r="Q109" s="14"/>
      <c r="R109" s="14" t="str">
        <f t="shared" ref="R109:W109" si="53">IF((R63&lt;R$6)," ", R63)</f>
        <v xml:space="preserve"> </v>
      </c>
      <c r="S109" s="14" t="str">
        <f t="shared" si="53"/>
        <v xml:space="preserve"> </v>
      </c>
      <c r="T109" s="14">
        <f t="shared" si="53"/>
        <v>123.3</v>
      </c>
      <c r="U109" s="14">
        <f t="shared" si="53"/>
        <v>230.6</v>
      </c>
      <c r="V109" s="14" t="str">
        <f t="shared" si="53"/>
        <v xml:space="preserve"> </v>
      </c>
      <c r="W109" s="14" t="str">
        <f t="shared" si="53"/>
        <v xml:space="preserve"> </v>
      </c>
      <c r="X109" s="14" t="str">
        <f t="shared" si="38"/>
        <v xml:space="preserve"> </v>
      </c>
      <c r="Y109" s="14" t="str">
        <f t="shared" ref="Y109" si="54">IF((Y82&lt;Y$6)," ", Y82)</f>
        <v xml:space="preserve"> </v>
      </c>
    </row>
    <row r="110" spans="1:25" x14ac:dyDescent="0.3">
      <c r="A110" s="9" t="s">
        <v>2284</v>
      </c>
      <c r="B110" s="9">
        <f t="shared" si="35"/>
        <v>5</v>
      </c>
      <c r="C110" s="9">
        <v>4.4999999999999998E-2</v>
      </c>
      <c r="D110" s="14">
        <f t="shared" si="31"/>
        <v>22.5</v>
      </c>
      <c r="E110" s="14">
        <f t="shared" ref="E110:O110" si="55">IF((E64&lt;E$6)," ", E64)</f>
        <v>28.2</v>
      </c>
      <c r="F110" s="14" t="str">
        <f t="shared" si="55"/>
        <v xml:space="preserve"> </v>
      </c>
      <c r="G110" s="14" t="str">
        <f t="shared" si="55"/>
        <v xml:space="preserve"> </v>
      </c>
      <c r="H110" s="14" t="str">
        <f t="shared" si="55"/>
        <v xml:space="preserve"> </v>
      </c>
      <c r="I110" s="14" t="str">
        <f t="shared" si="55"/>
        <v xml:space="preserve"> </v>
      </c>
      <c r="J110" s="14" t="str">
        <f t="shared" si="55"/>
        <v xml:space="preserve"> </v>
      </c>
      <c r="K110" s="14" t="str">
        <f t="shared" si="55"/>
        <v xml:space="preserve"> </v>
      </c>
      <c r="L110" s="14">
        <f t="shared" si="55"/>
        <v>19.100000000000001</v>
      </c>
      <c r="M110" s="14" t="str">
        <f t="shared" si="55"/>
        <v xml:space="preserve"> </v>
      </c>
      <c r="N110" s="14" t="str">
        <f t="shared" si="55"/>
        <v xml:space="preserve"> </v>
      </c>
      <c r="O110" s="14" t="str">
        <f t="shared" si="55"/>
        <v xml:space="preserve"> </v>
      </c>
      <c r="P110" s="14"/>
      <c r="Q110" s="14" t="str">
        <f>IF((Q64&gt;Q$6)," ", Q64)</f>
        <v xml:space="preserve"> </v>
      </c>
      <c r="R110" s="14" t="str">
        <f t="shared" ref="R110:W110" si="56">IF((R64&lt;R$6)," ", R64)</f>
        <v xml:space="preserve"> </v>
      </c>
      <c r="S110" s="14" t="str">
        <f t="shared" si="56"/>
        <v xml:space="preserve"> </v>
      </c>
      <c r="T110" s="14">
        <f t="shared" si="56"/>
        <v>122.9</v>
      </c>
      <c r="U110" s="14">
        <f t="shared" si="56"/>
        <v>176.1</v>
      </c>
      <c r="V110" s="14" t="str">
        <f t="shared" si="56"/>
        <v xml:space="preserve"> </v>
      </c>
      <c r="W110" s="14" t="str">
        <f t="shared" si="56"/>
        <v xml:space="preserve"> </v>
      </c>
      <c r="X110" s="14" t="str">
        <f t="shared" si="38"/>
        <v xml:space="preserve"> </v>
      </c>
      <c r="Y110" s="14" t="str">
        <f t="shared" ref="Y110" si="57">IF((Y83&lt;Y$6)," ", Y83)</f>
        <v xml:space="preserve"> </v>
      </c>
    </row>
    <row r="111" spans="1:25" x14ac:dyDescent="0.3">
      <c r="A111" s="9" t="s">
        <v>2290</v>
      </c>
      <c r="B111" s="9">
        <f t="shared" si="35"/>
        <v>7</v>
      </c>
      <c r="C111" s="9">
        <v>4.4999999999999998E-2</v>
      </c>
      <c r="D111" s="14">
        <f t="shared" si="31"/>
        <v>20.7</v>
      </c>
      <c r="E111" s="14">
        <f t="shared" ref="E111:O111" si="58">IF((E65&lt;E$6)," ", E65)</f>
        <v>37.200000000000003</v>
      </c>
      <c r="F111" s="14" t="str">
        <f t="shared" si="58"/>
        <v xml:space="preserve"> </v>
      </c>
      <c r="G111" s="14" t="str">
        <f t="shared" si="58"/>
        <v xml:space="preserve"> </v>
      </c>
      <c r="H111" s="14">
        <f t="shared" si="58"/>
        <v>14777</v>
      </c>
      <c r="I111" s="14">
        <f t="shared" si="58"/>
        <v>98040</v>
      </c>
      <c r="J111" s="14" t="str">
        <f t="shared" si="58"/>
        <v xml:space="preserve"> </v>
      </c>
      <c r="K111" s="14" t="str">
        <f t="shared" si="58"/>
        <v xml:space="preserve"> </v>
      </c>
      <c r="L111" s="14">
        <f t="shared" si="58"/>
        <v>19.3</v>
      </c>
      <c r="M111" s="14" t="str">
        <f t="shared" si="58"/>
        <v xml:space="preserve"> </v>
      </c>
      <c r="N111" s="14" t="str">
        <f t="shared" si="58"/>
        <v xml:space="preserve"> </v>
      </c>
      <c r="O111" s="14" t="str">
        <f t="shared" si="58"/>
        <v xml:space="preserve"> </v>
      </c>
      <c r="P111" s="14"/>
      <c r="Q111" s="14" t="str">
        <f>IF((Q65&gt;Q$6)," ", Q65)</f>
        <v xml:space="preserve"> </v>
      </c>
      <c r="R111" s="14" t="str">
        <f t="shared" ref="R111:W111" si="59">IF((R65&lt;R$6)," ", R65)</f>
        <v xml:space="preserve"> </v>
      </c>
      <c r="S111" s="14" t="str">
        <f t="shared" si="59"/>
        <v xml:space="preserve"> </v>
      </c>
      <c r="T111" s="14">
        <f t="shared" si="59"/>
        <v>111.7</v>
      </c>
      <c r="U111" s="14">
        <f t="shared" si="59"/>
        <v>271.39999999999998</v>
      </c>
      <c r="V111" s="14" t="str">
        <f t="shared" si="59"/>
        <v xml:space="preserve"> </v>
      </c>
      <c r="W111" s="14" t="str">
        <f t="shared" si="59"/>
        <v xml:space="preserve"> </v>
      </c>
      <c r="X111" s="14" t="str">
        <f t="shared" si="38"/>
        <v xml:space="preserve"> </v>
      </c>
      <c r="Y111" s="14" t="str">
        <f t="shared" ref="Y111" si="60">IF((Y84&lt;Y$6)," ", Y84)</f>
        <v xml:space="preserve"> </v>
      </c>
    </row>
    <row r="112" spans="1:25" x14ac:dyDescent="0.3">
      <c r="B112" s="9">
        <f t="shared" si="35"/>
        <v>2</v>
      </c>
      <c r="C112" s="9">
        <v>0.06</v>
      </c>
      <c r="D112" s="14" t="str">
        <f t="shared" ref="D112:O114" si="61">IF((D69&lt;D$6)," ", D69)</f>
        <v xml:space="preserve"> </v>
      </c>
      <c r="E112" s="14" t="str">
        <f t="shared" si="61"/>
        <v xml:space="preserve"> </v>
      </c>
      <c r="F112" s="14" t="str">
        <f t="shared" si="61"/>
        <v xml:space="preserve"> </v>
      </c>
      <c r="G112" s="14" t="str">
        <f t="shared" si="61"/>
        <v xml:space="preserve"> </v>
      </c>
      <c r="H112" s="14" t="str">
        <f t="shared" si="61"/>
        <v xml:space="preserve"> </v>
      </c>
      <c r="I112" s="14" t="str">
        <f t="shared" si="61"/>
        <v xml:space="preserve"> </v>
      </c>
      <c r="J112" s="14" t="str">
        <f t="shared" si="61"/>
        <v xml:space="preserve"> </v>
      </c>
      <c r="K112" s="14" t="str">
        <f t="shared" si="61"/>
        <v xml:space="preserve"> </v>
      </c>
      <c r="L112" s="14" t="str">
        <f t="shared" si="61"/>
        <v xml:space="preserve"> </v>
      </c>
      <c r="M112" s="14" t="str">
        <f t="shared" si="61"/>
        <v xml:space="preserve"> </v>
      </c>
      <c r="N112" s="14" t="str">
        <f t="shared" si="61"/>
        <v xml:space="preserve"> </v>
      </c>
      <c r="O112" s="14" t="str">
        <f t="shared" si="61"/>
        <v xml:space="preserve"> </v>
      </c>
      <c r="P112" s="14"/>
      <c r="Q112" s="14">
        <f t="shared" ref="Q112:Q114" si="62">IF((Q69&gt;Q$6)," ", Q69)</f>
        <v>0</v>
      </c>
      <c r="R112" s="14" t="str">
        <f t="shared" ref="R112:W112" si="63">IF((R69&lt;R$6)," ", R69)</f>
        <v xml:space="preserve"> </v>
      </c>
      <c r="S112" s="14" t="str">
        <f t="shared" si="63"/>
        <v xml:space="preserve"> </v>
      </c>
      <c r="T112" s="14" t="str">
        <f t="shared" si="63"/>
        <v xml:space="preserve"> </v>
      </c>
      <c r="U112" s="14" t="str">
        <f t="shared" si="63"/>
        <v xml:space="preserve"> </v>
      </c>
      <c r="V112" s="14" t="str">
        <f t="shared" si="63"/>
        <v xml:space="preserve"> </v>
      </c>
      <c r="W112" s="14" t="str">
        <f t="shared" si="63"/>
        <v xml:space="preserve"> </v>
      </c>
      <c r="X112" s="14">
        <f t="shared" si="38"/>
        <v>0</v>
      </c>
      <c r="Y112" s="14" t="str">
        <f t="shared" ref="Y112" si="64">IF((Y85&lt;Y$6)," ", Y85)</f>
        <v xml:space="preserve"> </v>
      </c>
    </row>
    <row r="113" spans="1:25" s="9" customFormat="1" x14ac:dyDescent="0.3">
      <c r="B113" s="9">
        <f t="shared" si="35"/>
        <v>2</v>
      </c>
      <c r="C113" s="9">
        <v>4.4999999999999998E-2</v>
      </c>
      <c r="D113" s="14" t="str">
        <f t="shared" si="61"/>
        <v xml:space="preserve"> </v>
      </c>
      <c r="E113" s="14" t="str">
        <f t="shared" si="61"/>
        <v xml:space="preserve"> </v>
      </c>
      <c r="F113" s="14" t="str">
        <f t="shared" si="61"/>
        <v xml:space="preserve"> </v>
      </c>
      <c r="G113" s="14" t="str">
        <f t="shared" si="61"/>
        <v xml:space="preserve"> </v>
      </c>
      <c r="H113" s="14" t="str">
        <f t="shared" si="61"/>
        <v xml:space="preserve"> </v>
      </c>
      <c r="I113" s="14" t="str">
        <f t="shared" si="61"/>
        <v xml:space="preserve"> </v>
      </c>
      <c r="J113" s="14" t="str">
        <f t="shared" si="61"/>
        <v xml:space="preserve"> </v>
      </c>
      <c r="K113" s="14" t="str">
        <f t="shared" si="61"/>
        <v xml:space="preserve"> </v>
      </c>
      <c r="L113" s="14" t="str">
        <f t="shared" si="61"/>
        <v xml:space="preserve"> </v>
      </c>
      <c r="M113" s="14" t="str">
        <f t="shared" si="61"/>
        <v xml:space="preserve"> </v>
      </c>
      <c r="N113" s="14" t="str">
        <f t="shared" si="61"/>
        <v xml:space="preserve"> </v>
      </c>
      <c r="O113" s="14" t="str">
        <f t="shared" si="61"/>
        <v xml:space="preserve"> </v>
      </c>
      <c r="P113" s="14"/>
      <c r="Q113" s="14">
        <f t="shared" si="62"/>
        <v>0</v>
      </c>
      <c r="R113" s="14" t="str">
        <f t="shared" ref="R113:W113" si="65">IF((R70&lt;R$6)," ", R70)</f>
        <v xml:space="preserve"> </v>
      </c>
      <c r="S113" s="14" t="str">
        <f t="shared" si="65"/>
        <v xml:space="preserve"> </v>
      </c>
      <c r="T113" s="14" t="str">
        <f t="shared" si="65"/>
        <v xml:space="preserve"> </v>
      </c>
      <c r="U113" s="14" t="str">
        <f t="shared" si="65"/>
        <v xml:space="preserve"> </v>
      </c>
      <c r="V113" s="14" t="str">
        <f t="shared" si="65"/>
        <v xml:space="preserve"> </v>
      </c>
      <c r="W113" s="14" t="str">
        <f t="shared" si="65"/>
        <v xml:space="preserve"> </v>
      </c>
      <c r="X113" s="14">
        <f t="shared" si="38"/>
        <v>0</v>
      </c>
      <c r="Y113" s="14" t="str">
        <f t="shared" ref="Y113" si="66">IF((Y86&lt;Y$6)," ", Y86)</f>
        <v xml:space="preserve"> </v>
      </c>
    </row>
    <row r="114" spans="1:25" s="9" customFormat="1" x14ac:dyDescent="0.3">
      <c r="B114" s="9">
        <f t="shared" si="35"/>
        <v>2</v>
      </c>
      <c r="C114" s="9">
        <v>4.4999999999999998E-2</v>
      </c>
      <c r="D114" s="14" t="str">
        <f t="shared" si="61"/>
        <v xml:space="preserve"> </v>
      </c>
      <c r="E114" s="14" t="str">
        <f t="shared" si="61"/>
        <v xml:space="preserve"> </v>
      </c>
      <c r="F114" s="14" t="str">
        <f t="shared" si="61"/>
        <v xml:space="preserve"> </v>
      </c>
      <c r="G114" s="14" t="str">
        <f t="shared" si="61"/>
        <v xml:space="preserve"> </v>
      </c>
      <c r="H114" s="14" t="str">
        <f t="shared" si="61"/>
        <v xml:space="preserve"> </v>
      </c>
      <c r="I114" s="14" t="str">
        <f t="shared" si="61"/>
        <v xml:space="preserve"> </v>
      </c>
      <c r="J114" s="14" t="str">
        <f t="shared" si="61"/>
        <v xml:space="preserve"> </v>
      </c>
      <c r="K114" s="14" t="str">
        <f t="shared" si="61"/>
        <v xml:space="preserve"> </v>
      </c>
      <c r="L114" s="14" t="str">
        <f t="shared" si="61"/>
        <v xml:space="preserve"> </v>
      </c>
      <c r="M114" s="14" t="str">
        <f t="shared" si="61"/>
        <v xml:space="preserve"> </v>
      </c>
      <c r="N114" s="14" t="str">
        <f t="shared" si="61"/>
        <v xml:space="preserve"> </v>
      </c>
      <c r="O114" s="14" t="str">
        <f t="shared" si="61"/>
        <v xml:space="preserve"> </v>
      </c>
      <c r="P114" s="14"/>
      <c r="Q114" s="14">
        <f t="shared" si="62"/>
        <v>0</v>
      </c>
      <c r="R114" s="14" t="str">
        <f t="shared" ref="R114:W114" si="67">IF((R71&lt;R$6)," ", R71)</f>
        <v xml:space="preserve"> </v>
      </c>
      <c r="S114" s="14" t="str">
        <f t="shared" si="67"/>
        <v xml:space="preserve"> </v>
      </c>
      <c r="T114" s="14" t="str">
        <f t="shared" si="67"/>
        <v xml:space="preserve"> </v>
      </c>
      <c r="U114" s="14" t="str">
        <f t="shared" si="67"/>
        <v xml:space="preserve"> </v>
      </c>
      <c r="V114" s="14" t="str">
        <f t="shared" si="67"/>
        <v xml:space="preserve"> </v>
      </c>
      <c r="W114" s="14" t="str">
        <f t="shared" si="67"/>
        <v xml:space="preserve"> </v>
      </c>
      <c r="X114" s="14">
        <f t="shared" si="38"/>
        <v>0</v>
      </c>
      <c r="Y114" s="14" t="str">
        <f t="shared" ref="Y114" si="68">IF((Y87&lt;Y$6)," ", Y87)</f>
        <v xml:space="preserve"> </v>
      </c>
    </row>
    <row r="115" spans="1:25" x14ac:dyDescent="0.3">
      <c r="C115" s="1">
        <f>SUM(C103:C114)/12</f>
        <v>5.2499999999999998E-2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7" spans="1:25" ht="28.8" x14ac:dyDescent="0.3">
      <c r="A117" t="s">
        <v>2440</v>
      </c>
      <c r="B117" s="15" t="s">
        <v>2437</v>
      </c>
      <c r="C117" s="15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x14ac:dyDescent="0.3">
      <c r="A118" s="9" t="s">
        <v>2306</v>
      </c>
      <c r="B118" s="9">
        <f>COUNT(D118:Y118)</f>
        <v>2</v>
      </c>
      <c r="C118" s="13">
        <f>IF((B118&gt;0), 0, C103)</f>
        <v>0</v>
      </c>
      <c r="D118" s="14" t="str">
        <f t="shared" ref="D118:O118" si="69">IF((D57&lt;($B$130*D$6))," ", D57)</f>
        <v xml:space="preserve"> </v>
      </c>
      <c r="E118" s="14" t="str">
        <f t="shared" si="69"/>
        <v xml:space="preserve"> </v>
      </c>
      <c r="F118" s="14" t="str">
        <f t="shared" si="69"/>
        <v xml:space="preserve"> </v>
      </c>
      <c r="G118" s="14" t="str">
        <f t="shared" si="69"/>
        <v xml:space="preserve"> </v>
      </c>
      <c r="H118" s="14">
        <f t="shared" si="69"/>
        <v>1022</v>
      </c>
      <c r="I118" s="14">
        <f t="shared" si="69"/>
        <v>4840</v>
      </c>
      <c r="J118" s="14" t="str">
        <f t="shared" si="69"/>
        <v xml:space="preserve"> </v>
      </c>
      <c r="K118" s="14" t="str">
        <f t="shared" si="69"/>
        <v xml:space="preserve"> </v>
      </c>
      <c r="L118" s="14" t="str">
        <f t="shared" si="69"/>
        <v xml:space="preserve"> </v>
      </c>
      <c r="M118" s="14" t="str">
        <f t="shared" si="69"/>
        <v xml:space="preserve"> </v>
      </c>
      <c r="N118" s="14" t="str">
        <f t="shared" si="69"/>
        <v xml:space="preserve"> </v>
      </c>
      <c r="O118" s="14" t="str">
        <f t="shared" si="69"/>
        <v xml:space="preserve"> </v>
      </c>
      <c r="P118" s="14"/>
      <c r="Q118" s="14"/>
      <c r="R118" s="14" t="str">
        <f t="shared" ref="R118:W126" si="70">IF((R57&lt;($B$130*R$6))," ", R57)</f>
        <v xml:space="preserve"> </v>
      </c>
      <c r="S118" s="14" t="str">
        <f t="shared" si="70"/>
        <v xml:space="preserve"> </v>
      </c>
      <c r="T118" s="14" t="str">
        <f t="shared" si="70"/>
        <v xml:space="preserve"> </v>
      </c>
      <c r="U118" s="14" t="str">
        <f t="shared" si="70"/>
        <v xml:space="preserve"> </v>
      </c>
      <c r="V118" s="14" t="str">
        <f t="shared" si="70"/>
        <v xml:space="preserve"> </v>
      </c>
      <c r="W118" s="14" t="str">
        <f t="shared" si="70"/>
        <v xml:space="preserve"> </v>
      </c>
      <c r="X118" s="14"/>
      <c r="Y118" s="14"/>
    </row>
    <row r="119" spans="1:25" x14ac:dyDescent="0.3">
      <c r="A119" s="9" t="s">
        <v>2307</v>
      </c>
      <c r="B119" s="9">
        <f t="shared" ref="B119:B129" si="71">COUNT(D119:Y119)</f>
        <v>0</v>
      </c>
      <c r="C119" s="13">
        <f t="shared" ref="C119:C129" si="72">IF((B119&gt;0), 0, C104)</f>
        <v>7.4999999999999997E-2</v>
      </c>
      <c r="D119" s="14" t="str">
        <f t="shared" ref="D119:O119" si="73">IF((D58&lt;($B$130*D$6))," ", D58)</f>
        <v xml:space="preserve"> </v>
      </c>
      <c r="E119" s="14" t="str">
        <f t="shared" si="73"/>
        <v xml:space="preserve"> </v>
      </c>
      <c r="F119" s="14" t="str">
        <f t="shared" si="73"/>
        <v xml:space="preserve"> </v>
      </c>
      <c r="G119" s="14" t="str">
        <f t="shared" si="73"/>
        <v xml:space="preserve"> </v>
      </c>
      <c r="H119" s="14" t="str">
        <f t="shared" si="73"/>
        <v xml:space="preserve"> </v>
      </c>
      <c r="I119" s="14" t="str">
        <f t="shared" si="73"/>
        <v xml:space="preserve"> </v>
      </c>
      <c r="J119" s="14" t="str">
        <f t="shared" si="73"/>
        <v xml:space="preserve"> </v>
      </c>
      <c r="K119" s="14" t="str">
        <f t="shared" si="73"/>
        <v xml:space="preserve"> </v>
      </c>
      <c r="L119" s="14" t="str">
        <f t="shared" si="73"/>
        <v xml:space="preserve"> </v>
      </c>
      <c r="M119" s="14" t="str">
        <f t="shared" si="73"/>
        <v xml:space="preserve"> </v>
      </c>
      <c r="N119" s="14" t="str">
        <f t="shared" si="73"/>
        <v xml:space="preserve"> </v>
      </c>
      <c r="O119" s="14" t="str">
        <f t="shared" si="73"/>
        <v xml:space="preserve"> </v>
      </c>
      <c r="P119" s="14"/>
      <c r="Q119" s="14"/>
      <c r="R119" s="14" t="str">
        <f t="shared" si="70"/>
        <v xml:space="preserve"> </v>
      </c>
      <c r="S119" s="14" t="str">
        <f t="shared" si="70"/>
        <v xml:space="preserve"> </v>
      </c>
      <c r="T119" s="14" t="str">
        <f t="shared" si="70"/>
        <v xml:space="preserve"> </v>
      </c>
      <c r="U119" s="14" t="str">
        <f t="shared" si="70"/>
        <v xml:space="preserve"> </v>
      </c>
      <c r="V119" s="14" t="str">
        <f t="shared" si="70"/>
        <v xml:space="preserve"> </v>
      </c>
      <c r="W119" s="14" t="str">
        <f t="shared" si="70"/>
        <v xml:space="preserve"> </v>
      </c>
      <c r="X119" s="14"/>
      <c r="Y119" s="14"/>
    </row>
    <row r="120" spans="1:25" x14ac:dyDescent="0.3">
      <c r="A120" s="9" t="s">
        <v>2308</v>
      </c>
      <c r="B120" s="9">
        <f t="shared" si="71"/>
        <v>0</v>
      </c>
      <c r="C120" s="13">
        <f t="shared" si="72"/>
        <v>7.4999999999999997E-2</v>
      </c>
      <c r="D120" s="14" t="str">
        <f t="shared" ref="D120:O120" si="74">IF((D59&lt;($B$130*D$6))," ", D59)</f>
        <v xml:space="preserve"> </v>
      </c>
      <c r="E120" s="14" t="str">
        <f t="shared" si="74"/>
        <v xml:space="preserve"> </v>
      </c>
      <c r="F120" s="14" t="str">
        <f t="shared" si="74"/>
        <v xml:space="preserve"> </v>
      </c>
      <c r="G120" s="14" t="str">
        <f t="shared" si="74"/>
        <v xml:space="preserve"> </v>
      </c>
      <c r="H120" s="14" t="str">
        <f t="shared" si="74"/>
        <v xml:space="preserve"> </v>
      </c>
      <c r="I120" s="14" t="str">
        <f t="shared" si="74"/>
        <v xml:space="preserve"> </v>
      </c>
      <c r="J120" s="14" t="str">
        <f t="shared" si="74"/>
        <v xml:space="preserve"> </v>
      </c>
      <c r="K120" s="14" t="str">
        <f t="shared" si="74"/>
        <v xml:space="preserve"> </v>
      </c>
      <c r="L120" s="14" t="str">
        <f t="shared" si="74"/>
        <v xml:space="preserve"> </v>
      </c>
      <c r="M120" s="14" t="str">
        <f t="shared" si="74"/>
        <v xml:space="preserve"> </v>
      </c>
      <c r="N120" s="14" t="str">
        <f t="shared" si="74"/>
        <v xml:space="preserve"> </v>
      </c>
      <c r="O120" s="14" t="str">
        <f t="shared" si="74"/>
        <v xml:space="preserve"> </v>
      </c>
      <c r="P120" s="14"/>
      <c r="Q120" s="14"/>
      <c r="R120" s="14" t="str">
        <f t="shared" si="70"/>
        <v xml:space="preserve"> </v>
      </c>
      <c r="S120" s="14" t="str">
        <f t="shared" si="70"/>
        <v xml:space="preserve"> </v>
      </c>
      <c r="T120" s="14" t="str">
        <f t="shared" si="70"/>
        <v xml:space="preserve"> </v>
      </c>
      <c r="U120" s="14" t="str">
        <f t="shared" si="70"/>
        <v xml:space="preserve"> </v>
      </c>
      <c r="V120" s="14" t="str">
        <f t="shared" si="70"/>
        <v xml:space="preserve"> </v>
      </c>
      <c r="W120" s="14" t="str">
        <f t="shared" si="70"/>
        <v xml:space="preserve"> </v>
      </c>
      <c r="X120" s="14"/>
      <c r="Y120" s="14"/>
    </row>
    <row r="121" spans="1:25" x14ac:dyDescent="0.3">
      <c r="A121" s="9" t="s">
        <v>2262</v>
      </c>
      <c r="B121" s="9">
        <f t="shared" si="71"/>
        <v>0</v>
      </c>
      <c r="C121" s="13">
        <f t="shared" si="72"/>
        <v>0.06</v>
      </c>
      <c r="D121" s="14" t="str">
        <f t="shared" ref="D121:O121" si="75">IF((D60&lt;($B$130*D$6))," ", D60)</f>
        <v xml:space="preserve"> </v>
      </c>
      <c r="E121" s="14" t="str">
        <f t="shared" si="75"/>
        <v xml:space="preserve"> </v>
      </c>
      <c r="F121" s="14" t="str">
        <f t="shared" si="75"/>
        <v xml:space="preserve"> </v>
      </c>
      <c r="G121" s="14" t="str">
        <f t="shared" si="75"/>
        <v xml:space="preserve"> </v>
      </c>
      <c r="H121" s="14" t="str">
        <f t="shared" si="75"/>
        <v xml:space="preserve"> </v>
      </c>
      <c r="I121" s="14" t="str">
        <f t="shared" si="75"/>
        <v xml:space="preserve"> </v>
      </c>
      <c r="J121" s="14" t="str">
        <f t="shared" si="75"/>
        <v xml:space="preserve"> </v>
      </c>
      <c r="K121" s="14" t="str">
        <f t="shared" si="75"/>
        <v xml:space="preserve"> </v>
      </c>
      <c r="L121" s="14" t="str">
        <f t="shared" si="75"/>
        <v xml:space="preserve"> </v>
      </c>
      <c r="M121" s="14" t="str">
        <f t="shared" si="75"/>
        <v xml:space="preserve"> </v>
      </c>
      <c r="N121" s="14" t="str">
        <f t="shared" si="75"/>
        <v xml:space="preserve"> </v>
      </c>
      <c r="O121" s="14" t="str">
        <f t="shared" si="75"/>
        <v xml:space="preserve"> </v>
      </c>
      <c r="P121" s="14"/>
      <c r="Q121" s="14"/>
      <c r="R121" s="14" t="str">
        <f t="shared" si="70"/>
        <v xml:space="preserve"> </v>
      </c>
      <c r="S121" s="14" t="str">
        <f t="shared" si="70"/>
        <v xml:space="preserve"> </v>
      </c>
      <c r="T121" s="14" t="str">
        <f t="shared" si="70"/>
        <v xml:space="preserve"> </v>
      </c>
      <c r="U121" s="14" t="str">
        <f t="shared" si="70"/>
        <v xml:space="preserve"> </v>
      </c>
      <c r="V121" s="14" t="str">
        <f t="shared" si="70"/>
        <v xml:space="preserve"> </v>
      </c>
      <c r="W121" s="14" t="str">
        <f t="shared" si="70"/>
        <v xml:space="preserve"> </v>
      </c>
      <c r="X121" s="14"/>
      <c r="Y121" s="14"/>
    </row>
    <row r="122" spans="1:25" x14ac:dyDescent="0.3">
      <c r="A122" s="9" t="s">
        <v>2266</v>
      </c>
      <c r="B122" s="9">
        <f t="shared" si="71"/>
        <v>1</v>
      </c>
      <c r="C122" s="13">
        <f t="shared" si="72"/>
        <v>0</v>
      </c>
      <c r="D122" s="14" t="str">
        <f t="shared" ref="D122:O122" si="76">IF((D61&lt;($B$130*D$6))," ", D61)</f>
        <v xml:space="preserve"> </v>
      </c>
      <c r="E122" s="14" t="str">
        <f t="shared" si="76"/>
        <v xml:space="preserve"> </v>
      </c>
      <c r="F122" s="14" t="str">
        <f t="shared" si="76"/>
        <v xml:space="preserve"> </v>
      </c>
      <c r="G122" s="14" t="str">
        <f t="shared" si="76"/>
        <v xml:space="preserve"> </v>
      </c>
      <c r="H122" s="14" t="str">
        <f t="shared" si="76"/>
        <v xml:space="preserve"> </v>
      </c>
      <c r="I122" s="14" t="str">
        <f t="shared" si="76"/>
        <v xml:space="preserve"> </v>
      </c>
      <c r="J122" s="14" t="str">
        <f t="shared" si="76"/>
        <v xml:space="preserve"> </v>
      </c>
      <c r="K122" s="14" t="str">
        <f t="shared" si="76"/>
        <v xml:space="preserve"> </v>
      </c>
      <c r="L122" s="14" t="str">
        <f t="shared" si="76"/>
        <v xml:space="preserve"> </v>
      </c>
      <c r="M122" s="14">
        <f t="shared" si="76"/>
        <v>17.5</v>
      </c>
      <c r="N122" s="14" t="str">
        <f t="shared" si="76"/>
        <v xml:space="preserve"> </v>
      </c>
      <c r="O122" s="14" t="str">
        <f t="shared" si="76"/>
        <v xml:space="preserve"> </v>
      </c>
      <c r="P122" s="14"/>
      <c r="Q122" s="14"/>
      <c r="R122" s="14" t="str">
        <f t="shared" si="70"/>
        <v xml:space="preserve"> </v>
      </c>
      <c r="S122" s="14" t="str">
        <f t="shared" si="70"/>
        <v xml:space="preserve"> </v>
      </c>
      <c r="T122" s="14" t="str">
        <f t="shared" si="70"/>
        <v xml:space="preserve"> </v>
      </c>
      <c r="U122" s="14" t="str">
        <f t="shared" si="70"/>
        <v xml:space="preserve"> </v>
      </c>
      <c r="V122" s="14" t="str">
        <f t="shared" si="70"/>
        <v xml:space="preserve"> </v>
      </c>
      <c r="W122" s="14" t="str">
        <f t="shared" si="70"/>
        <v xml:space="preserve"> </v>
      </c>
      <c r="X122" s="14"/>
      <c r="Y122" s="14"/>
    </row>
    <row r="123" spans="1:25" x14ac:dyDescent="0.3">
      <c r="A123" s="9" t="s">
        <v>2271</v>
      </c>
      <c r="B123" s="9">
        <f t="shared" si="71"/>
        <v>3</v>
      </c>
      <c r="C123" s="13">
        <f t="shared" si="72"/>
        <v>0</v>
      </c>
      <c r="D123" s="14" t="str">
        <f t="shared" ref="D123:O123" si="77">IF((D62&lt;($B$130*D$6))," ", D62)</f>
        <v xml:space="preserve"> </v>
      </c>
      <c r="E123" s="14" t="str">
        <f t="shared" si="77"/>
        <v xml:space="preserve"> </v>
      </c>
      <c r="F123" s="14" t="str">
        <f t="shared" si="77"/>
        <v xml:space="preserve"> </v>
      </c>
      <c r="G123" s="14" t="str">
        <f t="shared" si="77"/>
        <v xml:space="preserve"> </v>
      </c>
      <c r="H123" s="14" t="str">
        <f t="shared" si="77"/>
        <v xml:space="preserve"> </v>
      </c>
      <c r="I123" s="14" t="str">
        <f t="shared" si="77"/>
        <v xml:space="preserve"> </v>
      </c>
      <c r="J123" s="14" t="str">
        <f t="shared" si="77"/>
        <v xml:space="preserve"> </v>
      </c>
      <c r="K123" s="14" t="str">
        <f t="shared" si="77"/>
        <v xml:space="preserve"> </v>
      </c>
      <c r="L123" s="14" t="str">
        <f t="shared" si="77"/>
        <v xml:space="preserve"> </v>
      </c>
      <c r="M123" s="14">
        <f t="shared" si="77"/>
        <v>19.3</v>
      </c>
      <c r="N123" s="14" t="str">
        <f t="shared" si="77"/>
        <v xml:space="preserve"> </v>
      </c>
      <c r="O123" s="14" t="str">
        <f t="shared" si="77"/>
        <v xml:space="preserve"> </v>
      </c>
      <c r="P123" s="14"/>
      <c r="Q123" s="14"/>
      <c r="R123" s="14" t="str">
        <f t="shared" si="70"/>
        <v xml:space="preserve"> </v>
      </c>
      <c r="S123" s="14" t="str">
        <f t="shared" si="70"/>
        <v xml:space="preserve"> </v>
      </c>
      <c r="T123" s="14">
        <f t="shared" si="70"/>
        <v>82.5</v>
      </c>
      <c r="U123" s="14">
        <f t="shared" si="70"/>
        <v>230.3</v>
      </c>
      <c r="V123" s="14" t="str">
        <f t="shared" si="70"/>
        <v xml:space="preserve"> </v>
      </c>
      <c r="W123" s="14" t="str">
        <f t="shared" si="70"/>
        <v xml:space="preserve"> </v>
      </c>
      <c r="X123" s="14"/>
      <c r="Y123" s="14"/>
    </row>
    <row r="124" spans="1:25" x14ac:dyDescent="0.3">
      <c r="A124" s="9" t="s">
        <v>2277</v>
      </c>
      <c r="B124" s="9">
        <f t="shared" si="71"/>
        <v>3</v>
      </c>
      <c r="C124" s="13">
        <f t="shared" si="72"/>
        <v>0</v>
      </c>
      <c r="D124" s="14" t="str">
        <f t="shared" ref="D124:O124" si="78">IF((D63&lt;($B$130*D$6))," ", D63)</f>
        <v xml:space="preserve"> </v>
      </c>
      <c r="E124" s="14" t="str">
        <f t="shared" si="78"/>
        <v xml:space="preserve"> </v>
      </c>
      <c r="F124" s="14" t="str">
        <f t="shared" si="78"/>
        <v xml:space="preserve"> </v>
      </c>
      <c r="G124" s="14" t="str">
        <f t="shared" si="78"/>
        <v xml:space="preserve"> </v>
      </c>
      <c r="H124" s="14" t="str">
        <f t="shared" si="78"/>
        <v xml:space="preserve"> </v>
      </c>
      <c r="I124" s="14" t="str">
        <f t="shared" si="78"/>
        <v xml:space="preserve"> </v>
      </c>
      <c r="J124" s="14" t="str">
        <f t="shared" si="78"/>
        <v xml:space="preserve"> </v>
      </c>
      <c r="K124" s="14" t="str">
        <f t="shared" si="78"/>
        <v xml:space="preserve"> </v>
      </c>
      <c r="L124" s="14" t="str">
        <f t="shared" si="78"/>
        <v xml:space="preserve"> </v>
      </c>
      <c r="M124" s="14">
        <f t="shared" si="78"/>
        <v>18.399999999999999</v>
      </c>
      <c r="N124" s="14" t="str">
        <f t="shared" si="78"/>
        <v xml:space="preserve"> </v>
      </c>
      <c r="O124" s="14" t="str">
        <f t="shared" si="78"/>
        <v xml:space="preserve"> </v>
      </c>
      <c r="P124" s="14"/>
      <c r="Q124" s="14"/>
      <c r="R124" s="14" t="str">
        <f t="shared" si="70"/>
        <v xml:space="preserve"> </v>
      </c>
      <c r="S124" s="14" t="str">
        <f t="shared" si="70"/>
        <v xml:space="preserve"> </v>
      </c>
      <c r="T124" s="14">
        <f t="shared" si="70"/>
        <v>123.3</v>
      </c>
      <c r="U124" s="14">
        <f t="shared" si="70"/>
        <v>230.6</v>
      </c>
      <c r="V124" s="14" t="str">
        <f t="shared" si="70"/>
        <v xml:space="preserve"> </v>
      </c>
      <c r="W124" s="14" t="str">
        <f t="shared" si="70"/>
        <v xml:space="preserve"> </v>
      </c>
      <c r="X124" s="14"/>
      <c r="Y124" s="14"/>
    </row>
    <row r="125" spans="1:25" x14ac:dyDescent="0.3">
      <c r="A125" s="9" t="s">
        <v>2284</v>
      </c>
      <c r="B125" s="9">
        <f t="shared" si="71"/>
        <v>3</v>
      </c>
      <c r="C125" s="13">
        <f t="shared" si="72"/>
        <v>0</v>
      </c>
      <c r="D125" s="14" t="str">
        <f t="shared" ref="D125:O125" si="79">IF((D64&lt;($B$130*D$6))," ", D64)</f>
        <v xml:space="preserve"> </v>
      </c>
      <c r="E125" s="14" t="str">
        <f t="shared" si="79"/>
        <v xml:space="preserve"> </v>
      </c>
      <c r="F125" s="14" t="str">
        <f t="shared" si="79"/>
        <v xml:space="preserve"> </v>
      </c>
      <c r="G125" s="14" t="str">
        <f t="shared" si="79"/>
        <v xml:space="preserve"> </v>
      </c>
      <c r="H125" s="14" t="str">
        <f t="shared" si="79"/>
        <v xml:space="preserve"> </v>
      </c>
      <c r="I125" s="14" t="str">
        <f t="shared" si="79"/>
        <v xml:space="preserve"> </v>
      </c>
      <c r="J125" s="14" t="str">
        <f t="shared" si="79"/>
        <v xml:space="preserve"> </v>
      </c>
      <c r="K125" s="14" t="str">
        <f t="shared" si="79"/>
        <v xml:space="preserve"> </v>
      </c>
      <c r="L125" s="14">
        <f t="shared" si="79"/>
        <v>19.100000000000001</v>
      </c>
      <c r="M125" s="14" t="str">
        <f t="shared" si="79"/>
        <v xml:space="preserve"> </v>
      </c>
      <c r="N125" s="14" t="str">
        <f t="shared" si="79"/>
        <v xml:space="preserve"> </v>
      </c>
      <c r="O125" s="14" t="str">
        <f t="shared" si="79"/>
        <v xml:space="preserve"> </v>
      </c>
      <c r="P125" s="14"/>
      <c r="Q125" s="14"/>
      <c r="R125" s="14" t="str">
        <f t="shared" si="70"/>
        <v xml:space="preserve"> </v>
      </c>
      <c r="S125" s="14" t="str">
        <f t="shared" si="70"/>
        <v xml:space="preserve"> </v>
      </c>
      <c r="T125" s="14">
        <f t="shared" si="70"/>
        <v>122.9</v>
      </c>
      <c r="U125" s="14">
        <f t="shared" si="70"/>
        <v>176.1</v>
      </c>
      <c r="V125" s="14" t="str">
        <f t="shared" si="70"/>
        <v xml:space="preserve"> </v>
      </c>
      <c r="W125" s="14" t="str">
        <f t="shared" si="70"/>
        <v xml:space="preserve"> </v>
      </c>
      <c r="X125" s="14"/>
      <c r="Y125" s="14"/>
    </row>
    <row r="126" spans="1:25" x14ac:dyDescent="0.3">
      <c r="A126" s="9" t="s">
        <v>2290</v>
      </c>
      <c r="B126" s="9">
        <f t="shared" si="71"/>
        <v>5</v>
      </c>
      <c r="C126" s="13">
        <f t="shared" si="72"/>
        <v>0</v>
      </c>
      <c r="D126" s="14" t="str">
        <f t="shared" ref="D126:O126" si="80">IF((D65&lt;($B$130*D$6))," ", D65)</f>
        <v xml:space="preserve"> </v>
      </c>
      <c r="E126" s="14" t="str">
        <f t="shared" si="80"/>
        <v xml:space="preserve"> </v>
      </c>
      <c r="F126" s="14" t="str">
        <f t="shared" si="80"/>
        <v xml:space="preserve"> </v>
      </c>
      <c r="G126" s="14" t="str">
        <f t="shared" si="80"/>
        <v xml:space="preserve"> </v>
      </c>
      <c r="H126" s="14">
        <f t="shared" si="80"/>
        <v>14777</v>
      </c>
      <c r="I126" s="14">
        <f t="shared" si="80"/>
        <v>98040</v>
      </c>
      <c r="J126" s="14" t="str">
        <f t="shared" si="80"/>
        <v xml:space="preserve"> </v>
      </c>
      <c r="K126" s="14" t="str">
        <f t="shared" si="80"/>
        <v xml:space="preserve"> </v>
      </c>
      <c r="L126" s="14">
        <f t="shared" si="80"/>
        <v>19.3</v>
      </c>
      <c r="M126" s="14" t="str">
        <f t="shared" si="80"/>
        <v xml:space="preserve"> </v>
      </c>
      <c r="N126" s="14" t="str">
        <f t="shared" si="80"/>
        <v xml:space="preserve"> </v>
      </c>
      <c r="O126" s="14" t="str">
        <f t="shared" si="80"/>
        <v xml:space="preserve"> </v>
      </c>
      <c r="P126" s="14"/>
      <c r="Q126" s="14"/>
      <c r="R126" s="14" t="str">
        <f t="shared" si="70"/>
        <v xml:space="preserve"> </v>
      </c>
      <c r="S126" s="14" t="str">
        <f t="shared" si="70"/>
        <v xml:space="preserve"> </v>
      </c>
      <c r="T126" s="14">
        <f t="shared" si="70"/>
        <v>111.7</v>
      </c>
      <c r="U126" s="14">
        <f t="shared" si="70"/>
        <v>271.39999999999998</v>
      </c>
      <c r="V126" s="14" t="str">
        <f t="shared" si="70"/>
        <v xml:space="preserve"> </v>
      </c>
      <c r="W126" s="14" t="str">
        <f t="shared" si="70"/>
        <v xml:space="preserve"> </v>
      </c>
      <c r="X126" s="14"/>
      <c r="Y126" s="14"/>
    </row>
    <row r="127" spans="1:25" x14ac:dyDescent="0.3">
      <c r="A127" s="17">
        <v>44377</v>
      </c>
      <c r="B127" s="9">
        <f t="shared" si="71"/>
        <v>0</v>
      </c>
      <c r="C127" s="19">
        <f t="shared" si="72"/>
        <v>0.06</v>
      </c>
      <c r="D127" s="14" t="str">
        <f t="shared" ref="D127:O127" si="81">IF((D69&lt;($B$130*D$6))," ", D69)</f>
        <v xml:space="preserve"> </v>
      </c>
      <c r="E127" s="14" t="str">
        <f t="shared" si="81"/>
        <v xml:space="preserve"> </v>
      </c>
      <c r="F127" s="14" t="str">
        <f t="shared" si="81"/>
        <v xml:space="preserve"> </v>
      </c>
      <c r="G127" s="14" t="str">
        <f t="shared" si="81"/>
        <v xml:space="preserve"> </v>
      </c>
      <c r="H127" s="14" t="str">
        <f t="shared" si="81"/>
        <v xml:space="preserve"> </v>
      </c>
      <c r="I127" s="14" t="str">
        <f t="shared" si="81"/>
        <v xml:space="preserve"> </v>
      </c>
      <c r="J127" s="14" t="str">
        <f t="shared" si="81"/>
        <v xml:space="preserve"> </v>
      </c>
      <c r="K127" s="14" t="str">
        <f t="shared" si="81"/>
        <v xml:space="preserve"> </v>
      </c>
      <c r="L127" s="14" t="str">
        <f t="shared" si="81"/>
        <v xml:space="preserve"> </v>
      </c>
      <c r="M127" s="14" t="str">
        <f t="shared" si="81"/>
        <v xml:space="preserve"> </v>
      </c>
      <c r="N127" s="14" t="str">
        <f t="shared" si="81"/>
        <v xml:space="preserve"> </v>
      </c>
      <c r="O127" s="14" t="str">
        <f t="shared" si="81"/>
        <v xml:space="preserve"> </v>
      </c>
      <c r="P127" s="14"/>
      <c r="Q127" s="14"/>
      <c r="R127" s="14" t="str">
        <f t="shared" ref="R127:W129" si="82">IF((R69&lt;($B$130*R$6))," ", R69)</f>
        <v xml:space="preserve"> </v>
      </c>
      <c r="S127" s="14" t="str">
        <f t="shared" si="82"/>
        <v xml:space="preserve"> </v>
      </c>
      <c r="T127" s="14" t="str">
        <f t="shared" si="82"/>
        <v xml:space="preserve"> </v>
      </c>
      <c r="U127" s="14" t="str">
        <f t="shared" si="82"/>
        <v xml:space="preserve"> </v>
      </c>
      <c r="V127" s="14" t="str">
        <f t="shared" si="82"/>
        <v xml:space="preserve"> </v>
      </c>
      <c r="W127" s="14" t="str">
        <f t="shared" si="82"/>
        <v xml:space="preserve"> </v>
      </c>
      <c r="X127" s="14"/>
      <c r="Y127" s="14"/>
    </row>
    <row r="128" spans="1:25" x14ac:dyDescent="0.3">
      <c r="A128" s="17">
        <v>44408</v>
      </c>
      <c r="B128" s="9">
        <f t="shared" si="71"/>
        <v>0</v>
      </c>
      <c r="C128" s="19">
        <f t="shared" si="72"/>
        <v>4.4999999999999998E-2</v>
      </c>
      <c r="D128" s="14" t="str">
        <f t="shared" ref="D128:O128" si="83">IF((D70&lt;($B$130*D$6))," ", D70)</f>
        <v xml:space="preserve"> </v>
      </c>
      <c r="E128" s="14" t="str">
        <f t="shared" si="83"/>
        <v xml:space="preserve"> </v>
      </c>
      <c r="F128" s="14" t="str">
        <f t="shared" si="83"/>
        <v xml:space="preserve"> </v>
      </c>
      <c r="G128" s="14" t="str">
        <f t="shared" si="83"/>
        <v xml:space="preserve"> </v>
      </c>
      <c r="H128" s="14" t="str">
        <f t="shared" si="83"/>
        <v xml:space="preserve"> </v>
      </c>
      <c r="I128" s="14" t="str">
        <f t="shared" si="83"/>
        <v xml:space="preserve"> </v>
      </c>
      <c r="J128" s="14" t="str">
        <f t="shared" si="83"/>
        <v xml:space="preserve"> </v>
      </c>
      <c r="K128" s="14" t="str">
        <f t="shared" si="83"/>
        <v xml:space="preserve"> </v>
      </c>
      <c r="L128" s="14" t="str">
        <f t="shared" si="83"/>
        <v xml:space="preserve"> </v>
      </c>
      <c r="M128" s="14" t="str">
        <f t="shared" si="83"/>
        <v xml:space="preserve"> </v>
      </c>
      <c r="N128" s="14" t="str">
        <f t="shared" si="83"/>
        <v xml:space="preserve"> </v>
      </c>
      <c r="O128" s="14" t="str">
        <f t="shared" si="83"/>
        <v xml:space="preserve"> </v>
      </c>
      <c r="P128" s="14"/>
      <c r="Q128" s="14"/>
      <c r="R128" s="14" t="str">
        <f t="shared" si="82"/>
        <v xml:space="preserve"> </v>
      </c>
      <c r="S128" s="14" t="str">
        <f t="shared" si="82"/>
        <v xml:space="preserve"> </v>
      </c>
      <c r="T128" s="14" t="str">
        <f t="shared" si="82"/>
        <v xml:space="preserve"> </v>
      </c>
      <c r="U128" s="14" t="str">
        <f t="shared" si="82"/>
        <v xml:space="preserve"> </v>
      </c>
      <c r="V128" s="14" t="str">
        <f t="shared" si="82"/>
        <v xml:space="preserve"> </v>
      </c>
      <c r="W128" s="14" t="str">
        <f t="shared" si="82"/>
        <v xml:space="preserve"> </v>
      </c>
      <c r="X128" s="14"/>
      <c r="Y128" s="14"/>
    </row>
    <row r="129" spans="1:47" x14ac:dyDescent="0.3">
      <c r="A129" s="17">
        <v>44439</v>
      </c>
      <c r="B129" s="9">
        <f t="shared" si="71"/>
        <v>0</v>
      </c>
      <c r="C129" s="19">
        <f t="shared" si="72"/>
        <v>4.4999999999999998E-2</v>
      </c>
      <c r="D129" s="14" t="str">
        <f t="shared" ref="D129:O129" si="84">IF((D71&lt;($B$130*D$6))," ", D71)</f>
        <v xml:space="preserve"> </v>
      </c>
      <c r="E129" s="14" t="str">
        <f t="shared" si="84"/>
        <v xml:space="preserve"> </v>
      </c>
      <c r="F129" s="14" t="str">
        <f t="shared" si="84"/>
        <v xml:space="preserve"> </v>
      </c>
      <c r="G129" s="14" t="str">
        <f t="shared" si="84"/>
        <v xml:space="preserve"> </v>
      </c>
      <c r="H129" s="14" t="str">
        <f t="shared" si="84"/>
        <v xml:space="preserve"> </v>
      </c>
      <c r="I129" s="14" t="str">
        <f t="shared" si="84"/>
        <v xml:space="preserve"> </v>
      </c>
      <c r="J129" s="14" t="str">
        <f t="shared" si="84"/>
        <v xml:space="preserve"> </v>
      </c>
      <c r="K129" s="14" t="str">
        <f t="shared" si="84"/>
        <v xml:space="preserve"> </v>
      </c>
      <c r="L129" s="14" t="str">
        <f t="shared" si="84"/>
        <v xml:space="preserve"> </v>
      </c>
      <c r="M129" s="14" t="str">
        <f t="shared" si="84"/>
        <v xml:space="preserve"> </v>
      </c>
      <c r="N129" s="14" t="str">
        <f t="shared" si="84"/>
        <v xml:space="preserve"> </v>
      </c>
      <c r="O129" s="14" t="str">
        <f t="shared" si="84"/>
        <v xml:space="preserve"> </v>
      </c>
      <c r="P129" s="14"/>
      <c r="Q129" s="14"/>
      <c r="R129" s="14" t="str">
        <f t="shared" si="82"/>
        <v xml:space="preserve"> </v>
      </c>
      <c r="S129" s="14" t="str">
        <f t="shared" si="82"/>
        <v xml:space="preserve"> </v>
      </c>
      <c r="T129" s="14" t="str">
        <f t="shared" si="82"/>
        <v xml:space="preserve"> </v>
      </c>
      <c r="U129" s="14" t="str">
        <f t="shared" si="82"/>
        <v xml:space="preserve"> </v>
      </c>
      <c r="V129" s="14" t="str">
        <f t="shared" si="82"/>
        <v xml:space="preserve"> </v>
      </c>
      <c r="W129" s="14" t="str">
        <f t="shared" si="82"/>
        <v xml:space="preserve"> </v>
      </c>
      <c r="X129" s="14"/>
      <c r="Y129" s="14"/>
    </row>
    <row r="130" spans="1:47" x14ac:dyDescent="0.3">
      <c r="B130" s="9">
        <v>5</v>
      </c>
      <c r="C130" s="10">
        <f>SUM(C118:C126)/9</f>
        <v>2.3333333333333331E-2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47" s="13" customFormat="1" x14ac:dyDescent="0.3">
      <c r="C131" s="6"/>
    </row>
    <row r="132" spans="1:47" ht="28.8" x14ac:dyDescent="0.3">
      <c r="A132" t="s">
        <v>2443</v>
      </c>
      <c r="B132" s="15" t="s">
        <v>2436</v>
      </c>
      <c r="C132" s="15" t="s">
        <v>2438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T132" s="13"/>
      <c r="U132" s="13"/>
      <c r="W132" s="13"/>
      <c r="X132" s="13"/>
      <c r="Y132" s="13"/>
      <c r="AA132" s="13"/>
      <c r="AB132" s="13"/>
      <c r="AD132" s="13"/>
      <c r="AH132" s="13"/>
      <c r="AI132" s="13"/>
      <c r="AJ132" s="13"/>
      <c r="AK132" s="13"/>
      <c r="AL132" s="13"/>
      <c r="AM132" s="13"/>
      <c r="AN132" s="13"/>
      <c r="AR132" s="13"/>
      <c r="AS132" s="13"/>
      <c r="AT132" s="13"/>
      <c r="AU132" s="13"/>
    </row>
    <row r="133" spans="1:47" x14ac:dyDescent="0.3">
      <c r="A133" s="13" t="s">
        <v>1028</v>
      </c>
      <c r="B133" s="13">
        <f>COUNT(D133:Y133)</f>
        <v>0</v>
      </c>
      <c r="C133" s="13">
        <v>0.09</v>
      </c>
      <c r="D133" s="14" t="str">
        <f>IF((D15&lt;D$6)," ", D15)</f>
        <v xml:space="preserve"> </v>
      </c>
      <c r="E133" s="14" t="str">
        <f t="shared" ref="E133:O133" si="85">IF((E15&lt;E$6)," ", E15)</f>
        <v xml:space="preserve"> </v>
      </c>
      <c r="F133" s="14" t="str">
        <f t="shared" si="85"/>
        <v xml:space="preserve"> </v>
      </c>
      <c r="G133" s="14" t="str">
        <f t="shared" si="85"/>
        <v xml:space="preserve"> </v>
      </c>
      <c r="H133" s="14" t="str">
        <f t="shared" si="85"/>
        <v xml:space="preserve"> </v>
      </c>
      <c r="I133" s="14" t="str">
        <f t="shared" si="85"/>
        <v xml:space="preserve"> </v>
      </c>
      <c r="J133" s="14" t="str">
        <f t="shared" si="85"/>
        <v xml:space="preserve"> </v>
      </c>
      <c r="K133" s="14" t="str">
        <f t="shared" si="85"/>
        <v xml:space="preserve"> </v>
      </c>
      <c r="L133" s="14" t="str">
        <f t="shared" si="85"/>
        <v xml:space="preserve"> </v>
      </c>
      <c r="M133" s="14" t="str">
        <f t="shared" si="85"/>
        <v xml:space="preserve"> </v>
      </c>
      <c r="N133" s="14" t="str">
        <f t="shared" si="85"/>
        <v xml:space="preserve"> </v>
      </c>
      <c r="O133" s="14" t="str">
        <f t="shared" si="85"/>
        <v xml:space="preserve"> </v>
      </c>
      <c r="P133" s="14"/>
      <c r="Q133" s="14" t="str">
        <f>IF((Q15&gt;Q$6)," ", Q15)</f>
        <v xml:space="preserve"> </v>
      </c>
      <c r="R133" s="14" t="str">
        <f t="shared" ref="R133:S133" si="86">IF((R15&lt;R$6)," ", R15)</f>
        <v xml:space="preserve"> </v>
      </c>
      <c r="S133" s="14" t="str">
        <f t="shared" si="86"/>
        <v xml:space="preserve"> </v>
      </c>
      <c r="T133" s="14" t="str">
        <f t="shared" ref="T133:W133" si="87">IF((T15&lt;T$6)," ", T15)</f>
        <v xml:space="preserve"> </v>
      </c>
      <c r="U133" s="14" t="str">
        <f t="shared" si="87"/>
        <v xml:space="preserve"> </v>
      </c>
      <c r="V133" s="14" t="str">
        <f t="shared" si="87"/>
        <v xml:space="preserve"> </v>
      </c>
      <c r="W133" s="14" t="str">
        <f t="shared" si="87"/>
        <v xml:space="preserve"> </v>
      </c>
      <c r="X133" s="14" t="str">
        <f t="shared" ref="X133:X143" si="88">IF((X15&gt;X$6)," ", X15)</f>
        <v xml:space="preserve"> </v>
      </c>
      <c r="Y133" s="14" t="str">
        <f t="shared" ref="Y133:Y143" si="89">IF((Y15&lt;Y$6)," ", Y15)</f>
        <v xml:space="preserve"> </v>
      </c>
      <c r="AA133" s="13"/>
      <c r="AB133" s="13"/>
      <c r="AD133" s="13"/>
      <c r="AH133" s="13"/>
      <c r="AI133" s="13"/>
      <c r="AJ133" s="13"/>
      <c r="AK133" s="13"/>
      <c r="AL133" s="13"/>
      <c r="AM133" s="13"/>
      <c r="AN133" s="13"/>
      <c r="AR133" s="13"/>
      <c r="AS133" s="13"/>
      <c r="AT133" s="13"/>
      <c r="AU133" s="13"/>
    </row>
    <row r="134" spans="1:47" x14ac:dyDescent="0.3">
      <c r="A134" s="13" t="s">
        <v>1035</v>
      </c>
      <c r="B134" s="13">
        <f t="shared" ref="B134:B144" si="90">COUNT(D134:Y134)</f>
        <v>0</v>
      </c>
      <c r="C134" s="13">
        <v>0.09</v>
      </c>
      <c r="D134" s="14" t="str">
        <f t="shared" ref="D134:D144" si="91">IF((D16&lt;D$6)," ", D16)</f>
        <v xml:space="preserve"> </v>
      </c>
      <c r="E134" s="14" t="str">
        <f t="shared" ref="E134:O134" si="92">IF((E16&lt;E$6)," ", E16)</f>
        <v xml:space="preserve"> </v>
      </c>
      <c r="F134" s="14" t="str">
        <f t="shared" si="92"/>
        <v xml:space="preserve"> </v>
      </c>
      <c r="G134" s="14" t="str">
        <f t="shared" si="92"/>
        <v xml:space="preserve"> </v>
      </c>
      <c r="H134" s="14" t="str">
        <f t="shared" si="92"/>
        <v xml:space="preserve"> </v>
      </c>
      <c r="I134" s="14" t="str">
        <f t="shared" si="92"/>
        <v xml:space="preserve"> </v>
      </c>
      <c r="J134" s="14" t="str">
        <f t="shared" si="92"/>
        <v xml:space="preserve"> </v>
      </c>
      <c r="K134" s="14" t="str">
        <f t="shared" si="92"/>
        <v xml:space="preserve"> </v>
      </c>
      <c r="L134" s="14" t="str">
        <f t="shared" si="92"/>
        <v xml:space="preserve"> </v>
      </c>
      <c r="M134" s="14" t="str">
        <f t="shared" si="92"/>
        <v xml:space="preserve"> </v>
      </c>
      <c r="N134" s="14" t="str">
        <f t="shared" si="92"/>
        <v xml:space="preserve"> </v>
      </c>
      <c r="O134" s="14" t="str">
        <f t="shared" si="92"/>
        <v xml:space="preserve"> </v>
      </c>
      <c r="P134" s="14"/>
      <c r="Q134" s="14" t="str">
        <f t="shared" ref="Q134:Q144" si="93">IF((Q16&gt;Q$6)," ", Q16)</f>
        <v xml:space="preserve"> </v>
      </c>
      <c r="R134" s="14" t="str">
        <f t="shared" ref="R134:S134" si="94">IF((R16&lt;R$6)," ", R16)</f>
        <v xml:space="preserve"> </v>
      </c>
      <c r="S134" s="14" t="str">
        <f t="shared" si="94"/>
        <v xml:space="preserve"> </v>
      </c>
      <c r="T134" s="14" t="str">
        <f t="shared" ref="T134:W134" si="95">IF((T16&lt;T$6)," ", T16)</f>
        <v xml:space="preserve"> </v>
      </c>
      <c r="U134" s="14" t="str">
        <f t="shared" si="95"/>
        <v xml:space="preserve"> </v>
      </c>
      <c r="V134" s="14" t="str">
        <f t="shared" si="95"/>
        <v xml:space="preserve"> </v>
      </c>
      <c r="W134" s="14" t="str">
        <f t="shared" si="95"/>
        <v xml:space="preserve"> </v>
      </c>
      <c r="X134" s="14" t="str">
        <f t="shared" si="88"/>
        <v xml:space="preserve"> </v>
      </c>
      <c r="Y134" s="14" t="str">
        <f t="shared" si="89"/>
        <v xml:space="preserve"> </v>
      </c>
      <c r="AA134" s="13"/>
      <c r="AB134" s="13"/>
      <c r="AD134" s="13"/>
      <c r="AH134" s="13"/>
      <c r="AI134" s="13"/>
      <c r="AJ134" s="13"/>
      <c r="AK134" s="13"/>
      <c r="AL134" s="13"/>
      <c r="AM134" s="13"/>
      <c r="AN134" s="13"/>
      <c r="AR134" s="13"/>
      <c r="AS134" s="13"/>
      <c r="AT134" s="13"/>
      <c r="AU134" s="13"/>
    </row>
    <row r="135" spans="1:47" x14ac:dyDescent="0.3">
      <c r="A135" s="13" t="s">
        <v>1039</v>
      </c>
      <c r="B135" s="13">
        <f t="shared" si="90"/>
        <v>0</v>
      </c>
      <c r="C135" s="9">
        <v>0.09</v>
      </c>
      <c r="D135" s="14" t="str">
        <f t="shared" si="91"/>
        <v xml:space="preserve"> </v>
      </c>
      <c r="E135" s="14" t="str">
        <f t="shared" ref="E135:O135" si="96">IF((E17&lt;E$6)," ", E17)</f>
        <v xml:space="preserve"> </v>
      </c>
      <c r="F135" s="14" t="str">
        <f t="shared" si="96"/>
        <v xml:space="preserve"> </v>
      </c>
      <c r="G135" s="14" t="str">
        <f t="shared" si="96"/>
        <v xml:space="preserve"> </v>
      </c>
      <c r="H135" s="14" t="str">
        <f t="shared" si="96"/>
        <v xml:space="preserve"> </v>
      </c>
      <c r="I135" s="14" t="str">
        <f t="shared" si="96"/>
        <v xml:space="preserve"> </v>
      </c>
      <c r="J135" s="14" t="str">
        <f t="shared" si="96"/>
        <v xml:space="preserve"> </v>
      </c>
      <c r="K135" s="14" t="str">
        <f t="shared" si="96"/>
        <v xml:space="preserve"> </v>
      </c>
      <c r="L135" s="14" t="str">
        <f t="shared" si="96"/>
        <v xml:space="preserve"> </v>
      </c>
      <c r="M135" s="14" t="str">
        <f t="shared" si="96"/>
        <v xml:space="preserve"> </v>
      </c>
      <c r="N135" s="14" t="str">
        <f t="shared" si="96"/>
        <v xml:space="preserve"> </v>
      </c>
      <c r="O135" s="14" t="str">
        <f t="shared" si="96"/>
        <v xml:space="preserve"> </v>
      </c>
      <c r="P135" s="14" t="str">
        <f t="shared" ref="P135" si="97">IF((P17&gt;P$6)," ", P17)</f>
        <v xml:space="preserve"> </v>
      </c>
      <c r="Q135" s="14"/>
      <c r="R135" s="14" t="str">
        <f t="shared" ref="R135:S135" si="98">IF((R17&lt;R$6)," ", R17)</f>
        <v xml:space="preserve"> </v>
      </c>
      <c r="S135" s="14" t="str">
        <f t="shared" si="98"/>
        <v xml:space="preserve"> </v>
      </c>
      <c r="T135" s="14" t="str">
        <f t="shared" ref="T135:W135" si="99">IF((T17&lt;T$6)," ", T17)</f>
        <v xml:space="preserve"> </v>
      </c>
      <c r="U135" s="14" t="str">
        <f t="shared" si="99"/>
        <v xml:space="preserve"> </v>
      </c>
      <c r="V135" s="14" t="str">
        <f t="shared" si="99"/>
        <v xml:space="preserve"> </v>
      </c>
      <c r="W135" s="14" t="str">
        <f t="shared" si="99"/>
        <v xml:space="preserve"> </v>
      </c>
      <c r="X135" s="14" t="str">
        <f t="shared" si="88"/>
        <v xml:space="preserve"> </v>
      </c>
      <c r="Y135" s="14" t="str">
        <f t="shared" si="89"/>
        <v xml:space="preserve"> </v>
      </c>
      <c r="AD135" s="13"/>
      <c r="AH135" s="13"/>
      <c r="AI135" s="13"/>
      <c r="AJ135" s="13"/>
      <c r="AK135" s="13"/>
      <c r="AL135" s="13"/>
      <c r="AM135" s="13"/>
      <c r="AN135" s="13"/>
      <c r="AR135" s="13"/>
      <c r="AS135" s="13"/>
      <c r="AT135" s="13"/>
      <c r="AU135" s="13"/>
    </row>
    <row r="136" spans="1:47" x14ac:dyDescent="0.3">
      <c r="A136" s="14" t="s">
        <v>1046</v>
      </c>
      <c r="B136" s="13">
        <f t="shared" si="90"/>
        <v>0</v>
      </c>
      <c r="C136" s="9">
        <v>0.09</v>
      </c>
      <c r="D136" s="14" t="str">
        <f>IF((D12&lt;D$6)," ", D12)</f>
        <v xml:space="preserve"> </v>
      </c>
      <c r="E136" s="14" t="str">
        <f>IF((E12&lt;E$6)," ", E12)</f>
        <v xml:space="preserve"> </v>
      </c>
      <c r="F136" s="14" t="str">
        <f t="shared" ref="F136:N136" si="100">IF((F18&lt;F$6)," ", F18)</f>
        <v xml:space="preserve"> </v>
      </c>
      <c r="G136" s="14" t="str">
        <f t="shared" si="100"/>
        <v xml:space="preserve"> </v>
      </c>
      <c r="H136" s="14" t="str">
        <f t="shared" si="100"/>
        <v xml:space="preserve"> </v>
      </c>
      <c r="I136" s="14" t="str">
        <f t="shared" si="100"/>
        <v xml:space="preserve"> </v>
      </c>
      <c r="J136" s="14" t="str">
        <f t="shared" si="100"/>
        <v xml:space="preserve"> </v>
      </c>
      <c r="K136" s="14" t="str">
        <f t="shared" si="100"/>
        <v xml:space="preserve"> </v>
      </c>
      <c r="L136" s="14" t="str">
        <f t="shared" si="100"/>
        <v xml:space="preserve"> </v>
      </c>
      <c r="M136" s="14" t="str">
        <f>IF((M12&lt;M$6)," ", M12)</f>
        <v xml:space="preserve"> </v>
      </c>
      <c r="N136" s="14" t="str">
        <f t="shared" si="100"/>
        <v xml:space="preserve"> </v>
      </c>
      <c r="O136" s="14" t="str">
        <f>IF((O12&lt;O$6)," ", O12)</f>
        <v xml:space="preserve"> </v>
      </c>
      <c r="P136" s="14" t="str">
        <f>IF((P12&gt;P$6)," ", P12)</f>
        <v xml:space="preserve"> </v>
      </c>
      <c r="Q136" s="14"/>
      <c r="R136" s="14" t="str">
        <f t="shared" ref="R136:S136" si="101">IF((R18&lt;R$6)," ", R18)</f>
        <v xml:space="preserve"> </v>
      </c>
      <c r="S136" s="14" t="str">
        <f t="shared" si="101"/>
        <v xml:space="preserve"> </v>
      </c>
      <c r="T136" s="14" t="str">
        <f t="shared" ref="T136:U136" si="102">IF((T18&lt;T$6)," ", T18)</f>
        <v xml:space="preserve"> </v>
      </c>
      <c r="U136" s="14" t="str">
        <f t="shared" si="102"/>
        <v xml:space="preserve"> </v>
      </c>
      <c r="V136" s="14" t="str">
        <f>IF((V12&lt;V$6)," ", V12)</f>
        <v xml:space="preserve"> </v>
      </c>
      <c r="W136" s="14" t="str">
        <f>IF((W12&lt;W$6)," ", W12)</f>
        <v xml:space="preserve"> </v>
      </c>
      <c r="X136" s="14" t="str">
        <f>IF((X12&gt;X$6)," ", X12)</f>
        <v xml:space="preserve"> </v>
      </c>
      <c r="Y136" s="14" t="str">
        <f>IF((Y12&lt;Y$6)," ", Y12)</f>
        <v xml:space="preserve"> </v>
      </c>
      <c r="AD136" s="13"/>
      <c r="AH136" s="13"/>
      <c r="AI136" s="13"/>
      <c r="AJ136" s="13"/>
      <c r="AK136" s="13"/>
      <c r="AL136" s="13"/>
      <c r="AM136" s="13"/>
      <c r="AN136" s="13"/>
      <c r="AR136" s="13"/>
      <c r="AS136" s="13"/>
      <c r="AT136" s="13"/>
      <c r="AU136" s="13"/>
    </row>
    <row r="137" spans="1:47" x14ac:dyDescent="0.3">
      <c r="A137" s="13" t="s">
        <v>1052</v>
      </c>
      <c r="B137" s="13">
        <f t="shared" si="90"/>
        <v>0</v>
      </c>
      <c r="C137" s="9">
        <v>0.09</v>
      </c>
      <c r="D137" s="14" t="str">
        <f t="shared" si="91"/>
        <v xml:space="preserve"> </v>
      </c>
      <c r="E137" s="14" t="str">
        <f t="shared" ref="E137:O137" si="103">IF((E19&lt;E$6)," ", E19)</f>
        <v xml:space="preserve"> </v>
      </c>
      <c r="F137" s="14" t="str">
        <f t="shared" si="103"/>
        <v xml:space="preserve"> </v>
      </c>
      <c r="G137" s="14" t="str">
        <f t="shared" si="103"/>
        <v xml:space="preserve"> </v>
      </c>
      <c r="H137" s="14" t="str">
        <f t="shared" si="103"/>
        <v xml:space="preserve"> </v>
      </c>
      <c r="I137" s="14" t="str">
        <f t="shared" si="103"/>
        <v xml:space="preserve"> </v>
      </c>
      <c r="J137" s="14" t="str">
        <f t="shared" si="103"/>
        <v xml:space="preserve"> </v>
      </c>
      <c r="K137" s="14" t="str">
        <f t="shared" si="103"/>
        <v xml:space="preserve"> </v>
      </c>
      <c r="L137" s="14" t="str">
        <f t="shared" si="103"/>
        <v xml:space="preserve"> </v>
      </c>
      <c r="M137" s="14" t="str">
        <f t="shared" si="103"/>
        <v xml:space="preserve"> </v>
      </c>
      <c r="N137" s="14" t="str">
        <f t="shared" si="103"/>
        <v xml:space="preserve"> </v>
      </c>
      <c r="O137" s="14" t="str">
        <f t="shared" si="103"/>
        <v xml:space="preserve"> </v>
      </c>
      <c r="P137" s="14" t="str">
        <f>IF((P19&gt;P$6)," ", P19)</f>
        <v xml:space="preserve"> </v>
      </c>
      <c r="Q137" s="14"/>
      <c r="R137" s="14" t="str">
        <f t="shared" ref="R137:S137" si="104">IF((R19&lt;R$6)," ", R19)</f>
        <v xml:space="preserve"> </v>
      </c>
      <c r="S137" s="14" t="str">
        <f t="shared" si="104"/>
        <v xml:space="preserve"> </v>
      </c>
      <c r="T137" s="14" t="str">
        <f t="shared" ref="T137:W137" si="105">IF((T19&lt;T$6)," ", T19)</f>
        <v xml:space="preserve"> </v>
      </c>
      <c r="U137" s="14" t="str">
        <f t="shared" si="105"/>
        <v xml:space="preserve"> </v>
      </c>
      <c r="V137" s="14" t="str">
        <f t="shared" si="105"/>
        <v xml:space="preserve"> </v>
      </c>
      <c r="W137" s="14" t="str">
        <f t="shared" si="105"/>
        <v xml:space="preserve"> </v>
      </c>
      <c r="X137" s="14" t="str">
        <f t="shared" si="88"/>
        <v xml:space="preserve"> </v>
      </c>
      <c r="Y137" s="14" t="str">
        <f t="shared" si="89"/>
        <v xml:space="preserve"> </v>
      </c>
      <c r="AD137" s="13"/>
      <c r="AH137" s="13"/>
      <c r="AI137" s="13"/>
      <c r="AJ137" s="13"/>
      <c r="AK137" s="13"/>
      <c r="AL137" s="13"/>
      <c r="AM137" s="13"/>
      <c r="AN137" s="13"/>
      <c r="AR137" s="13"/>
      <c r="AS137" s="13"/>
      <c r="AT137" s="13"/>
      <c r="AU137" s="13"/>
    </row>
    <row r="138" spans="1:47" x14ac:dyDescent="0.3">
      <c r="A138" s="13" t="s">
        <v>1059</v>
      </c>
      <c r="B138" s="13">
        <f t="shared" si="90"/>
        <v>0</v>
      </c>
      <c r="C138" s="9">
        <v>0.09</v>
      </c>
      <c r="D138" s="14" t="str">
        <f t="shared" si="91"/>
        <v xml:space="preserve"> </v>
      </c>
      <c r="E138" s="14" t="str">
        <f t="shared" ref="E138:O138" si="106">IF((E20&lt;E$6)," ", E20)</f>
        <v xml:space="preserve"> </v>
      </c>
      <c r="F138" s="14" t="str">
        <f t="shared" si="106"/>
        <v xml:space="preserve"> </v>
      </c>
      <c r="G138" s="14" t="str">
        <f t="shared" si="106"/>
        <v xml:space="preserve"> </v>
      </c>
      <c r="H138" s="14" t="str">
        <f t="shared" si="106"/>
        <v xml:space="preserve"> </v>
      </c>
      <c r="I138" s="14" t="str">
        <f t="shared" si="106"/>
        <v xml:space="preserve"> </v>
      </c>
      <c r="J138" s="14" t="str">
        <f t="shared" si="106"/>
        <v xml:space="preserve"> </v>
      </c>
      <c r="K138" s="14" t="str">
        <f t="shared" si="106"/>
        <v xml:space="preserve"> </v>
      </c>
      <c r="L138" s="14" t="str">
        <f t="shared" si="106"/>
        <v xml:space="preserve"> </v>
      </c>
      <c r="M138" s="14" t="str">
        <f t="shared" si="106"/>
        <v xml:space="preserve"> </v>
      </c>
      <c r="N138" s="14" t="str">
        <f t="shared" si="106"/>
        <v xml:space="preserve"> </v>
      </c>
      <c r="O138" s="14" t="str">
        <f t="shared" si="106"/>
        <v xml:space="preserve"> </v>
      </c>
      <c r="P138" s="14" t="str">
        <f>IF((P20&gt;P$6)," ", P20)</f>
        <v xml:space="preserve"> </v>
      </c>
      <c r="Q138" s="14"/>
      <c r="R138" s="14" t="str">
        <f t="shared" ref="R138:S138" si="107">IF((R20&lt;R$6)," ", R20)</f>
        <v xml:space="preserve"> </v>
      </c>
      <c r="S138" s="14" t="str">
        <f t="shared" si="107"/>
        <v xml:space="preserve"> </v>
      </c>
      <c r="T138" s="14" t="str">
        <f t="shared" ref="T138:W138" si="108">IF((T20&lt;T$6)," ", T20)</f>
        <v xml:space="preserve"> </v>
      </c>
      <c r="U138" s="14" t="str">
        <f t="shared" si="108"/>
        <v xml:space="preserve"> </v>
      </c>
      <c r="V138" s="14" t="str">
        <f t="shared" si="108"/>
        <v xml:space="preserve"> </v>
      </c>
      <c r="W138" s="14" t="str">
        <f t="shared" si="108"/>
        <v xml:space="preserve"> </v>
      </c>
      <c r="X138" s="14" t="str">
        <f t="shared" si="88"/>
        <v xml:space="preserve"> </v>
      </c>
      <c r="Y138" s="14" t="str">
        <f t="shared" si="89"/>
        <v xml:space="preserve"> </v>
      </c>
      <c r="AD138" s="13"/>
      <c r="AH138" s="13"/>
      <c r="AI138" s="13"/>
      <c r="AJ138" s="13"/>
      <c r="AK138" s="13"/>
      <c r="AL138" s="13"/>
      <c r="AM138" s="13"/>
      <c r="AN138" s="13"/>
      <c r="AR138" s="13"/>
      <c r="AS138" s="13"/>
      <c r="AT138" s="13"/>
      <c r="AU138" s="13"/>
    </row>
    <row r="139" spans="1:47" x14ac:dyDescent="0.3">
      <c r="A139" s="14" t="s">
        <v>1064</v>
      </c>
      <c r="B139" s="13">
        <f t="shared" si="90"/>
        <v>0</v>
      </c>
      <c r="C139" s="9">
        <v>0.09</v>
      </c>
      <c r="D139" s="14" t="str">
        <f>IF((D13&lt;D$6)," ", D13)</f>
        <v xml:space="preserve"> </v>
      </c>
      <c r="E139" s="14" t="str">
        <f>IF((E13&lt;E$6)," ", E13)</f>
        <v xml:space="preserve"> </v>
      </c>
      <c r="F139" s="14" t="str">
        <f t="shared" ref="F139:N139" si="109">IF((F21&lt;F$6)," ", F21)</f>
        <v xml:space="preserve"> </v>
      </c>
      <c r="G139" s="14" t="str">
        <f t="shared" si="109"/>
        <v xml:space="preserve"> </v>
      </c>
      <c r="H139" s="14" t="str">
        <f t="shared" si="109"/>
        <v xml:space="preserve"> </v>
      </c>
      <c r="I139" s="14" t="str">
        <f t="shared" si="109"/>
        <v xml:space="preserve"> </v>
      </c>
      <c r="J139" s="14" t="str">
        <f t="shared" si="109"/>
        <v xml:space="preserve"> </v>
      </c>
      <c r="K139" s="14" t="str">
        <f t="shared" si="109"/>
        <v xml:space="preserve"> </v>
      </c>
      <c r="L139" s="14" t="str">
        <f t="shared" si="109"/>
        <v xml:space="preserve"> </v>
      </c>
      <c r="M139" s="14" t="str">
        <f>IF((M13&lt;M$6)," ", M13)</f>
        <v xml:space="preserve"> </v>
      </c>
      <c r="N139" s="14" t="str">
        <f t="shared" si="109"/>
        <v xml:space="preserve"> </v>
      </c>
      <c r="O139" s="14" t="str">
        <f>IF((O13&lt;O$6)," ", O13)</f>
        <v xml:space="preserve"> </v>
      </c>
      <c r="P139" s="14" t="str">
        <f>IF((P13&gt;P$6)," ", P13)</f>
        <v xml:space="preserve"> </v>
      </c>
      <c r="Q139" s="14"/>
      <c r="R139" s="14" t="str">
        <f t="shared" ref="R139:S139" si="110">IF((R21&lt;R$6)," ", R21)</f>
        <v xml:space="preserve"> </v>
      </c>
      <c r="S139" s="14" t="str">
        <f t="shared" si="110"/>
        <v xml:space="preserve"> </v>
      </c>
      <c r="T139" s="14" t="str">
        <f t="shared" ref="T139:U139" si="111">IF((T21&lt;T$6)," ", T21)</f>
        <v xml:space="preserve"> </v>
      </c>
      <c r="U139" s="14" t="str">
        <f t="shared" si="111"/>
        <v xml:space="preserve"> </v>
      </c>
      <c r="V139" s="14" t="str">
        <f>IF((V13&lt;V$6)," ", V13)</f>
        <v xml:space="preserve"> </v>
      </c>
      <c r="W139" s="14" t="str">
        <f>IF((W13&lt;W$6)," ", W13)</f>
        <v xml:space="preserve"> </v>
      </c>
      <c r="X139" s="14" t="str">
        <f>IF((X13&gt;X$6)," ", X13)</f>
        <v xml:space="preserve"> </v>
      </c>
      <c r="Y139" s="14" t="str">
        <f>IF((Y13&lt;Y$6)," ", Y13)</f>
        <v xml:space="preserve"> </v>
      </c>
      <c r="AD139" s="13"/>
      <c r="AH139" s="13"/>
      <c r="AI139" s="13"/>
      <c r="AJ139" s="13"/>
      <c r="AK139" s="13"/>
      <c r="AL139" s="13"/>
      <c r="AM139" s="13"/>
      <c r="AN139" s="13"/>
      <c r="AR139" s="13"/>
      <c r="AS139" s="13"/>
      <c r="AT139" s="13"/>
      <c r="AU139" s="13"/>
    </row>
    <row r="140" spans="1:47" x14ac:dyDescent="0.3">
      <c r="A140" s="13" t="s">
        <v>1069</v>
      </c>
      <c r="B140" s="13">
        <f t="shared" si="90"/>
        <v>0</v>
      </c>
      <c r="C140" s="9">
        <v>0.09</v>
      </c>
      <c r="D140" s="14" t="str">
        <f t="shared" si="91"/>
        <v xml:space="preserve"> </v>
      </c>
      <c r="E140" s="14" t="str">
        <f t="shared" ref="E140:O140" si="112">IF((E22&lt;E$6)," ", E22)</f>
        <v xml:space="preserve"> </v>
      </c>
      <c r="F140" s="14" t="str">
        <f t="shared" si="112"/>
        <v xml:space="preserve"> </v>
      </c>
      <c r="G140" s="14" t="str">
        <f t="shared" si="112"/>
        <v xml:space="preserve"> </v>
      </c>
      <c r="H140" s="14" t="str">
        <f t="shared" si="112"/>
        <v xml:space="preserve"> </v>
      </c>
      <c r="I140" s="14" t="str">
        <f t="shared" si="112"/>
        <v xml:space="preserve"> </v>
      </c>
      <c r="J140" s="14" t="str">
        <f t="shared" si="112"/>
        <v xml:space="preserve"> </v>
      </c>
      <c r="K140" s="14" t="str">
        <f t="shared" si="112"/>
        <v xml:space="preserve"> </v>
      </c>
      <c r="L140" s="14" t="str">
        <f t="shared" si="112"/>
        <v xml:space="preserve"> </v>
      </c>
      <c r="M140" s="14" t="str">
        <f t="shared" si="112"/>
        <v xml:space="preserve"> </v>
      </c>
      <c r="N140" s="14" t="str">
        <f t="shared" si="112"/>
        <v xml:space="preserve"> </v>
      </c>
      <c r="O140" s="14" t="str">
        <f t="shared" si="112"/>
        <v xml:space="preserve"> </v>
      </c>
      <c r="P140" s="14"/>
      <c r="Q140" s="14" t="str">
        <f t="shared" si="93"/>
        <v xml:space="preserve"> </v>
      </c>
      <c r="R140" s="14" t="str">
        <f t="shared" ref="R140:S140" si="113">IF((R22&lt;R$6)," ", R22)</f>
        <v xml:space="preserve"> </v>
      </c>
      <c r="S140" s="14" t="str">
        <f t="shared" si="113"/>
        <v xml:space="preserve"> </v>
      </c>
      <c r="T140" s="14" t="str">
        <f t="shared" ref="T140:W140" si="114">IF((T22&lt;T$6)," ", T22)</f>
        <v xml:space="preserve"> </v>
      </c>
      <c r="U140" s="14" t="str">
        <f t="shared" si="114"/>
        <v xml:space="preserve"> </v>
      </c>
      <c r="V140" s="14" t="str">
        <f t="shared" si="114"/>
        <v xml:space="preserve"> </v>
      </c>
      <c r="W140" s="14" t="str">
        <f t="shared" si="114"/>
        <v xml:space="preserve"> </v>
      </c>
      <c r="X140" s="14" t="str">
        <f t="shared" si="88"/>
        <v xml:space="preserve"> </v>
      </c>
      <c r="Y140" s="14" t="str">
        <f t="shared" si="89"/>
        <v xml:space="preserve"> </v>
      </c>
      <c r="AD140" s="13"/>
      <c r="AH140" s="13"/>
      <c r="AI140" s="13"/>
      <c r="AJ140" s="13"/>
      <c r="AK140" s="13"/>
      <c r="AL140" s="13"/>
      <c r="AM140" s="13"/>
      <c r="AN140" s="13"/>
      <c r="AR140" s="13"/>
      <c r="AS140" s="13"/>
      <c r="AT140" s="13"/>
      <c r="AU140" s="13"/>
    </row>
    <row r="141" spans="1:47" x14ac:dyDescent="0.3">
      <c r="A141" s="13" t="s">
        <v>1073</v>
      </c>
      <c r="B141" s="13">
        <f t="shared" si="90"/>
        <v>0</v>
      </c>
      <c r="C141" s="9">
        <v>0.09</v>
      </c>
      <c r="D141" s="14" t="str">
        <f t="shared" si="91"/>
        <v xml:space="preserve"> </v>
      </c>
      <c r="E141" s="14" t="str">
        <f t="shared" ref="E141:O141" si="115">IF((E23&lt;E$6)," ", E23)</f>
        <v xml:space="preserve"> </v>
      </c>
      <c r="F141" s="14" t="str">
        <f t="shared" si="115"/>
        <v xml:space="preserve"> </v>
      </c>
      <c r="G141" s="14" t="str">
        <f t="shared" si="115"/>
        <v xml:space="preserve"> </v>
      </c>
      <c r="H141" s="14" t="str">
        <f t="shared" si="115"/>
        <v xml:space="preserve"> </v>
      </c>
      <c r="I141" s="14" t="str">
        <f t="shared" si="115"/>
        <v xml:space="preserve"> </v>
      </c>
      <c r="J141" s="14" t="str">
        <f t="shared" si="115"/>
        <v xml:space="preserve"> </v>
      </c>
      <c r="K141" s="14" t="str">
        <f t="shared" si="115"/>
        <v xml:space="preserve"> </v>
      </c>
      <c r="L141" s="14" t="str">
        <f t="shared" si="115"/>
        <v xml:space="preserve"> </v>
      </c>
      <c r="M141" s="14" t="str">
        <f t="shared" si="115"/>
        <v xml:space="preserve"> </v>
      </c>
      <c r="N141" s="14" t="str">
        <f t="shared" si="115"/>
        <v xml:space="preserve"> </v>
      </c>
      <c r="O141" s="14" t="str">
        <f t="shared" si="115"/>
        <v xml:space="preserve"> </v>
      </c>
      <c r="P141" s="14"/>
      <c r="Q141" s="14" t="str">
        <f t="shared" si="93"/>
        <v xml:space="preserve"> </v>
      </c>
      <c r="R141" s="14" t="str">
        <f t="shared" ref="R141:S141" si="116">IF((R23&lt;R$6)," ", R23)</f>
        <v xml:space="preserve"> </v>
      </c>
      <c r="S141" s="14" t="str">
        <f t="shared" si="116"/>
        <v xml:space="preserve"> </v>
      </c>
      <c r="T141" s="14" t="str">
        <f t="shared" ref="T141:W141" si="117">IF((T23&lt;T$6)," ", T23)</f>
        <v xml:space="preserve"> </v>
      </c>
      <c r="U141" s="14" t="str">
        <f t="shared" si="117"/>
        <v xml:space="preserve"> </v>
      </c>
      <c r="V141" s="14" t="str">
        <f t="shared" si="117"/>
        <v xml:space="preserve"> </v>
      </c>
      <c r="W141" s="14" t="str">
        <f t="shared" si="117"/>
        <v xml:space="preserve"> </v>
      </c>
      <c r="X141" s="14" t="str">
        <f t="shared" si="88"/>
        <v xml:space="preserve"> </v>
      </c>
      <c r="Y141" s="14" t="str">
        <f t="shared" si="89"/>
        <v xml:space="preserve"> </v>
      </c>
      <c r="AD141" s="13"/>
      <c r="AH141" s="13"/>
      <c r="AI141" s="13"/>
      <c r="AJ141" s="13"/>
      <c r="AK141" s="13"/>
      <c r="AL141" s="13"/>
      <c r="AM141" s="13"/>
      <c r="AN141" s="13"/>
      <c r="AR141" s="13"/>
      <c r="AS141" s="13"/>
      <c r="AT141" s="13"/>
      <c r="AU141" s="13"/>
    </row>
    <row r="142" spans="1:47" x14ac:dyDescent="0.3">
      <c r="A142" s="13" t="s">
        <v>1079</v>
      </c>
      <c r="B142" s="13">
        <f t="shared" si="90"/>
        <v>0</v>
      </c>
      <c r="C142" s="9">
        <v>0.09</v>
      </c>
      <c r="D142" s="14" t="str">
        <f t="shared" si="91"/>
        <v xml:space="preserve"> </v>
      </c>
      <c r="E142" s="14" t="str">
        <f t="shared" ref="E142:O142" si="118">IF((E24&lt;E$6)," ", E24)</f>
        <v xml:space="preserve"> </v>
      </c>
      <c r="F142" s="14" t="str">
        <f t="shared" si="118"/>
        <v xml:space="preserve"> </v>
      </c>
      <c r="G142" s="14" t="str">
        <f t="shared" si="118"/>
        <v xml:space="preserve"> </v>
      </c>
      <c r="H142" s="14" t="str">
        <f t="shared" si="118"/>
        <v xml:space="preserve"> </v>
      </c>
      <c r="I142" s="14" t="str">
        <f t="shared" si="118"/>
        <v xml:space="preserve"> </v>
      </c>
      <c r="J142" s="14" t="str">
        <f t="shared" si="118"/>
        <v xml:space="preserve"> </v>
      </c>
      <c r="K142" s="14" t="str">
        <f t="shared" si="118"/>
        <v xml:space="preserve"> </v>
      </c>
      <c r="L142" s="14" t="str">
        <f t="shared" si="118"/>
        <v xml:space="preserve"> </v>
      </c>
      <c r="M142" s="14" t="str">
        <f t="shared" si="118"/>
        <v xml:space="preserve"> </v>
      </c>
      <c r="N142" s="14" t="str">
        <f t="shared" si="118"/>
        <v xml:space="preserve"> </v>
      </c>
      <c r="O142" s="14" t="str">
        <f t="shared" si="118"/>
        <v xml:space="preserve"> </v>
      </c>
      <c r="P142" s="14"/>
      <c r="Q142" s="14" t="str">
        <f t="shared" si="93"/>
        <v xml:space="preserve"> </v>
      </c>
      <c r="R142" s="14" t="str">
        <f t="shared" ref="R142:S142" si="119">IF((R24&lt;R$6)," ", R24)</f>
        <v xml:space="preserve"> </v>
      </c>
      <c r="S142" s="14" t="str">
        <f t="shared" si="119"/>
        <v xml:space="preserve"> </v>
      </c>
      <c r="T142" s="14" t="str">
        <f t="shared" ref="T142:W142" si="120">IF((T24&lt;T$6)," ", T24)</f>
        <v xml:space="preserve"> </v>
      </c>
      <c r="U142" s="14" t="str">
        <f t="shared" si="120"/>
        <v xml:space="preserve"> </v>
      </c>
      <c r="V142" s="14" t="str">
        <f t="shared" si="120"/>
        <v xml:space="preserve"> </v>
      </c>
      <c r="W142" s="14" t="str">
        <f t="shared" si="120"/>
        <v xml:space="preserve"> </v>
      </c>
      <c r="X142" s="14" t="str">
        <f t="shared" si="88"/>
        <v xml:space="preserve"> </v>
      </c>
      <c r="Y142" s="14" t="str">
        <f t="shared" si="89"/>
        <v xml:space="preserve"> </v>
      </c>
      <c r="AD142" s="13"/>
      <c r="AH142" s="13"/>
      <c r="AI142" s="13"/>
      <c r="AJ142" s="13"/>
      <c r="AK142" s="13"/>
      <c r="AL142" s="13"/>
      <c r="AM142" s="13"/>
      <c r="AN142" s="13"/>
      <c r="AR142" s="13"/>
      <c r="AS142" s="13"/>
      <c r="AT142" s="13"/>
      <c r="AU142" s="13"/>
    </row>
    <row r="143" spans="1:47" x14ac:dyDescent="0.3">
      <c r="A143" s="13" t="s">
        <v>1084</v>
      </c>
      <c r="B143" s="13">
        <f t="shared" si="90"/>
        <v>0</v>
      </c>
      <c r="C143" s="9">
        <v>0.09</v>
      </c>
      <c r="D143" s="14" t="str">
        <f t="shared" si="91"/>
        <v xml:space="preserve"> </v>
      </c>
      <c r="E143" s="14" t="str">
        <f t="shared" ref="E143:O143" si="121">IF((E25&lt;E$6)," ", E25)</f>
        <v xml:space="preserve"> </v>
      </c>
      <c r="F143" s="14" t="str">
        <f t="shared" si="121"/>
        <v xml:space="preserve"> </v>
      </c>
      <c r="G143" s="14" t="str">
        <f t="shared" si="121"/>
        <v xml:space="preserve"> </v>
      </c>
      <c r="H143" s="14" t="str">
        <f t="shared" si="121"/>
        <v xml:space="preserve"> </v>
      </c>
      <c r="I143" s="14" t="str">
        <f t="shared" si="121"/>
        <v xml:space="preserve"> </v>
      </c>
      <c r="J143" s="14" t="str">
        <f t="shared" si="121"/>
        <v xml:space="preserve"> </v>
      </c>
      <c r="K143" s="14" t="str">
        <f t="shared" si="121"/>
        <v xml:space="preserve"> </v>
      </c>
      <c r="L143" s="14" t="str">
        <f t="shared" si="121"/>
        <v xml:space="preserve"> </v>
      </c>
      <c r="M143" s="14" t="str">
        <f t="shared" si="121"/>
        <v xml:space="preserve"> </v>
      </c>
      <c r="N143" s="14" t="str">
        <f t="shared" si="121"/>
        <v xml:space="preserve"> </v>
      </c>
      <c r="O143" s="14" t="str">
        <f t="shared" si="121"/>
        <v xml:space="preserve"> </v>
      </c>
      <c r="P143" s="14"/>
      <c r="Q143" s="14" t="str">
        <f t="shared" si="93"/>
        <v xml:space="preserve"> </v>
      </c>
      <c r="R143" s="14" t="str">
        <f t="shared" ref="R143:S143" si="122">IF((R25&lt;R$6)," ", R25)</f>
        <v xml:space="preserve"> </v>
      </c>
      <c r="S143" s="14" t="str">
        <f t="shared" si="122"/>
        <v xml:space="preserve"> </v>
      </c>
      <c r="T143" s="14" t="str">
        <f t="shared" ref="T143:W143" si="123">IF((T25&lt;T$6)," ", T25)</f>
        <v xml:space="preserve"> </v>
      </c>
      <c r="U143" s="14" t="str">
        <f t="shared" si="123"/>
        <v xml:space="preserve"> </v>
      </c>
      <c r="V143" s="14" t="str">
        <f t="shared" si="123"/>
        <v xml:space="preserve"> </v>
      </c>
      <c r="W143" s="14" t="str">
        <f t="shared" si="123"/>
        <v xml:space="preserve"> </v>
      </c>
      <c r="X143" s="14" t="str">
        <f t="shared" si="88"/>
        <v xml:space="preserve"> </v>
      </c>
      <c r="Y143" s="14" t="str">
        <f t="shared" si="89"/>
        <v xml:space="preserve"> </v>
      </c>
      <c r="AD143" s="13"/>
      <c r="AH143" s="13"/>
      <c r="AI143" s="13"/>
      <c r="AJ143" s="13"/>
      <c r="AK143" s="13"/>
      <c r="AL143" s="13"/>
      <c r="AM143" s="13"/>
      <c r="AN143" s="13"/>
      <c r="AR143" s="13"/>
      <c r="AS143" s="13"/>
      <c r="AT143" s="13"/>
      <c r="AU143" s="13"/>
    </row>
    <row r="144" spans="1:47" x14ac:dyDescent="0.3">
      <c r="A144" s="13" t="s">
        <v>1089</v>
      </c>
      <c r="B144" s="13">
        <f t="shared" si="90"/>
        <v>0</v>
      </c>
      <c r="C144" s="9">
        <v>0.09</v>
      </c>
      <c r="D144" s="14" t="str">
        <f t="shared" si="91"/>
        <v xml:space="preserve"> </v>
      </c>
      <c r="E144" s="14" t="str">
        <f t="shared" ref="E144:O144" si="124">IF((E26&lt;E$6)," ", E26)</f>
        <v xml:space="preserve"> </v>
      </c>
      <c r="F144" s="14" t="str">
        <f t="shared" si="124"/>
        <v xml:space="preserve"> </v>
      </c>
      <c r="G144" s="14" t="str">
        <f t="shared" si="124"/>
        <v xml:space="preserve"> </v>
      </c>
      <c r="H144" s="14" t="str">
        <f t="shared" si="124"/>
        <v xml:space="preserve"> </v>
      </c>
      <c r="I144" s="14" t="str">
        <f t="shared" si="124"/>
        <v xml:space="preserve"> </v>
      </c>
      <c r="J144" s="14" t="str">
        <f t="shared" si="124"/>
        <v xml:space="preserve"> </v>
      </c>
      <c r="K144" s="14" t="str">
        <f t="shared" si="124"/>
        <v xml:space="preserve"> </v>
      </c>
      <c r="L144" s="14" t="str">
        <f t="shared" si="124"/>
        <v xml:space="preserve"> </v>
      </c>
      <c r="M144" s="14" t="str">
        <f t="shared" si="124"/>
        <v xml:space="preserve"> </v>
      </c>
      <c r="N144" s="14" t="str">
        <f t="shared" si="124"/>
        <v xml:space="preserve"> </v>
      </c>
      <c r="O144" s="14" t="str">
        <f t="shared" si="124"/>
        <v xml:space="preserve"> </v>
      </c>
      <c r="P144" s="14"/>
      <c r="Q144" s="14" t="str">
        <f t="shared" si="93"/>
        <v xml:space="preserve"> </v>
      </c>
      <c r="R144" s="14" t="str">
        <f t="shared" ref="R144:S144" si="125">IF((R26&lt;R$6)," ", R26)</f>
        <v xml:space="preserve"> </v>
      </c>
      <c r="S144" s="14" t="str">
        <f t="shared" si="125"/>
        <v xml:space="preserve"> </v>
      </c>
      <c r="T144" s="14" t="str">
        <f t="shared" ref="T144:W144" si="126">IF((T26&lt;T$6)," ", T26)</f>
        <v xml:space="preserve"> </v>
      </c>
      <c r="U144" s="14" t="str">
        <f t="shared" si="126"/>
        <v xml:space="preserve"> </v>
      </c>
      <c r="V144" s="14" t="str">
        <f t="shared" si="126"/>
        <v xml:space="preserve"> </v>
      </c>
      <c r="W144" s="14" t="str">
        <f t="shared" si="126"/>
        <v xml:space="preserve"> </v>
      </c>
      <c r="X144" s="14" t="str">
        <f>IF((X26&gt;X$6)," ", X26)</f>
        <v xml:space="preserve"> </v>
      </c>
      <c r="Y144" s="14" t="str">
        <f>IF((Y26&lt;Y$6)," ", Y26)</f>
        <v xml:space="preserve"> </v>
      </c>
      <c r="AD144" s="13"/>
      <c r="AH144" s="13"/>
      <c r="AI144" s="13"/>
      <c r="AJ144" s="13"/>
      <c r="AK144" s="13"/>
      <c r="AL144" s="13"/>
      <c r="AM144" s="13"/>
      <c r="AN144" s="13"/>
      <c r="AR144" s="13"/>
      <c r="AS144" s="13"/>
      <c r="AT144" s="13"/>
      <c r="AU144" s="13"/>
    </row>
    <row r="145" spans="1:47" x14ac:dyDescent="0.3">
      <c r="A145" s="13"/>
      <c r="C145" s="1">
        <f>SUM(C133:C144)/12</f>
        <v>8.9999999999999983E-2</v>
      </c>
      <c r="AD145" s="13"/>
      <c r="AH145" s="13"/>
      <c r="AI145" s="13"/>
      <c r="AJ145" s="13"/>
      <c r="AK145" s="13"/>
      <c r="AL145" s="13"/>
      <c r="AM145" s="13"/>
      <c r="AN145" s="13"/>
      <c r="AR145" s="13"/>
      <c r="AS145" s="13"/>
      <c r="AT145" s="13"/>
      <c r="AU145" s="13"/>
    </row>
    <row r="146" spans="1:47" ht="28.8" x14ac:dyDescent="0.3">
      <c r="A146" s="13" t="s">
        <v>2443</v>
      </c>
      <c r="B146" s="15" t="s">
        <v>2437</v>
      </c>
      <c r="AD146" s="13"/>
      <c r="AH146" s="13"/>
      <c r="AI146" s="13"/>
      <c r="AJ146" s="13"/>
      <c r="AK146" s="13"/>
      <c r="AL146" s="13"/>
      <c r="AM146" s="13"/>
      <c r="AN146" s="13"/>
      <c r="AR146" s="13"/>
      <c r="AS146" s="13"/>
      <c r="AT146" s="13"/>
      <c r="AU146" s="13"/>
    </row>
    <row r="147" spans="1:47" x14ac:dyDescent="0.3">
      <c r="A147" s="13" t="s">
        <v>1028</v>
      </c>
      <c r="B147" s="13">
        <f>COUNT(D147:Y147)</f>
        <v>0</v>
      </c>
      <c r="C147" s="13">
        <f>IF((B147&gt;0), 0, C133)</f>
        <v>0.09</v>
      </c>
      <c r="D147" s="14" t="str">
        <f>IF((D15&lt;($B$159*D$6))," ", D15)</f>
        <v xml:space="preserve"> </v>
      </c>
      <c r="E147" s="14" t="str">
        <f t="shared" ref="E147:O147" si="127">IF((E15&lt;($B$159*E$6))," ", E15)</f>
        <v xml:space="preserve"> </v>
      </c>
      <c r="F147" s="14" t="str">
        <f t="shared" si="127"/>
        <v xml:space="preserve"> </v>
      </c>
      <c r="G147" s="14" t="str">
        <f t="shared" si="127"/>
        <v xml:space="preserve"> </v>
      </c>
      <c r="H147" s="14" t="str">
        <f t="shared" si="127"/>
        <v xml:space="preserve"> </v>
      </c>
      <c r="I147" s="14" t="str">
        <f t="shared" si="127"/>
        <v xml:space="preserve"> </v>
      </c>
      <c r="J147" s="14" t="str">
        <f t="shared" si="127"/>
        <v xml:space="preserve"> </v>
      </c>
      <c r="K147" s="14" t="str">
        <f t="shared" si="127"/>
        <v xml:space="preserve"> </v>
      </c>
      <c r="L147" s="14" t="str">
        <f t="shared" si="127"/>
        <v xml:space="preserve"> </v>
      </c>
      <c r="M147" s="14" t="str">
        <f t="shared" si="127"/>
        <v xml:space="preserve"> </v>
      </c>
      <c r="N147" s="14" t="str">
        <f t="shared" si="127"/>
        <v xml:space="preserve"> </v>
      </c>
      <c r="O147" s="14" t="str">
        <f t="shared" si="127"/>
        <v xml:space="preserve"> </v>
      </c>
      <c r="R147" s="14" t="str">
        <f t="shared" ref="R147:W147" si="128">IF((R15&lt;($B$159*R$6))," ", R15)</f>
        <v xml:space="preserve"> </v>
      </c>
      <c r="S147" s="14" t="str">
        <f t="shared" si="128"/>
        <v xml:space="preserve"> </v>
      </c>
      <c r="T147" s="14" t="str">
        <f t="shared" si="128"/>
        <v xml:space="preserve"> </v>
      </c>
      <c r="U147" s="14" t="str">
        <f t="shared" si="128"/>
        <v xml:space="preserve"> </v>
      </c>
      <c r="V147" s="14" t="str">
        <f t="shared" si="128"/>
        <v xml:space="preserve"> </v>
      </c>
      <c r="W147" s="14" t="str">
        <f t="shared" si="128"/>
        <v xml:space="preserve"> </v>
      </c>
    </row>
    <row r="148" spans="1:47" x14ac:dyDescent="0.3">
      <c r="A148" s="13" t="s">
        <v>1035</v>
      </c>
      <c r="B148" s="13">
        <f t="shared" ref="B148:B158" si="129">COUNT(D148:Y148)</f>
        <v>0</v>
      </c>
      <c r="C148" s="13">
        <f t="shared" ref="C148:C158" si="130">IF((B148&gt;0), 0, C134)</f>
        <v>0.09</v>
      </c>
      <c r="D148" s="14" t="str">
        <f t="shared" ref="D148:O158" si="131">IF((D16&lt;($B$159*D$6))," ", D16)</f>
        <v xml:space="preserve"> </v>
      </c>
      <c r="E148" s="14" t="str">
        <f t="shared" si="131"/>
        <v xml:space="preserve"> </v>
      </c>
      <c r="F148" s="14" t="str">
        <f t="shared" si="131"/>
        <v xml:space="preserve"> </v>
      </c>
      <c r="G148" s="14" t="str">
        <f t="shared" si="131"/>
        <v xml:space="preserve"> </v>
      </c>
      <c r="H148" s="14" t="str">
        <f t="shared" si="131"/>
        <v xml:space="preserve"> </v>
      </c>
      <c r="I148" s="14" t="str">
        <f t="shared" si="131"/>
        <v xml:space="preserve"> </v>
      </c>
      <c r="J148" s="14" t="str">
        <f t="shared" si="131"/>
        <v xml:space="preserve"> </v>
      </c>
      <c r="K148" s="14" t="str">
        <f t="shared" si="131"/>
        <v xml:space="preserve"> </v>
      </c>
      <c r="L148" s="14" t="str">
        <f t="shared" si="131"/>
        <v xml:space="preserve"> </v>
      </c>
      <c r="M148" s="14" t="str">
        <f t="shared" si="131"/>
        <v xml:space="preserve"> </v>
      </c>
      <c r="N148" s="14" t="str">
        <f t="shared" si="131"/>
        <v xml:space="preserve"> </v>
      </c>
      <c r="O148" s="14" t="str">
        <f t="shared" si="131"/>
        <v xml:space="preserve"> </v>
      </c>
      <c r="R148" s="14" t="str">
        <f t="shared" ref="R148:W148" si="132">IF((R16&lt;($B$159*R$6))," ", R16)</f>
        <v xml:space="preserve"> </v>
      </c>
      <c r="S148" s="14" t="str">
        <f t="shared" si="132"/>
        <v xml:space="preserve"> </v>
      </c>
      <c r="T148" s="14" t="str">
        <f t="shared" si="132"/>
        <v xml:space="preserve"> </v>
      </c>
      <c r="U148" s="14" t="str">
        <f t="shared" si="132"/>
        <v xml:space="preserve"> </v>
      </c>
      <c r="V148" s="14" t="str">
        <f t="shared" si="132"/>
        <v xml:space="preserve"> </v>
      </c>
      <c r="W148" s="14" t="str">
        <f t="shared" si="132"/>
        <v xml:space="preserve"> </v>
      </c>
    </row>
    <row r="149" spans="1:47" x14ac:dyDescent="0.3">
      <c r="A149" s="13" t="s">
        <v>1039</v>
      </c>
      <c r="B149" s="13">
        <f t="shared" si="129"/>
        <v>0</v>
      </c>
      <c r="C149" s="13">
        <f t="shared" si="130"/>
        <v>0.09</v>
      </c>
      <c r="D149" s="14" t="str">
        <f t="shared" si="131"/>
        <v xml:space="preserve"> </v>
      </c>
      <c r="E149" s="14" t="str">
        <f t="shared" si="131"/>
        <v xml:space="preserve"> </v>
      </c>
      <c r="F149" s="14" t="str">
        <f t="shared" si="131"/>
        <v xml:space="preserve"> </v>
      </c>
      <c r="G149" s="14" t="str">
        <f t="shared" si="131"/>
        <v xml:space="preserve"> </v>
      </c>
      <c r="H149" s="14" t="str">
        <f t="shared" si="131"/>
        <v xml:space="preserve"> </v>
      </c>
      <c r="I149" s="14" t="str">
        <f t="shared" si="131"/>
        <v xml:space="preserve"> </v>
      </c>
      <c r="J149" s="14" t="str">
        <f t="shared" si="131"/>
        <v xml:space="preserve"> </v>
      </c>
      <c r="K149" s="14" t="str">
        <f t="shared" si="131"/>
        <v xml:space="preserve"> </v>
      </c>
      <c r="L149" s="14" t="str">
        <f t="shared" si="131"/>
        <v xml:space="preserve"> </v>
      </c>
      <c r="M149" s="14" t="str">
        <f t="shared" si="131"/>
        <v xml:space="preserve"> </v>
      </c>
      <c r="N149" s="14" t="str">
        <f t="shared" si="131"/>
        <v xml:space="preserve"> </v>
      </c>
      <c r="O149" s="14" t="str">
        <f t="shared" si="131"/>
        <v xml:space="preserve"> </v>
      </c>
      <c r="R149" s="14" t="str">
        <f t="shared" ref="R149:W149" si="133">IF((R17&lt;($B$159*R$6))," ", R17)</f>
        <v xml:space="preserve"> </v>
      </c>
      <c r="S149" s="14" t="str">
        <f t="shared" si="133"/>
        <v xml:space="preserve"> </v>
      </c>
      <c r="T149" s="14" t="str">
        <f t="shared" si="133"/>
        <v xml:space="preserve"> </v>
      </c>
      <c r="U149" s="14" t="str">
        <f t="shared" si="133"/>
        <v xml:space="preserve"> </v>
      </c>
      <c r="V149" s="14" t="str">
        <f t="shared" si="133"/>
        <v xml:space="preserve"> </v>
      </c>
      <c r="W149" s="14" t="str">
        <f t="shared" si="133"/>
        <v xml:space="preserve"> </v>
      </c>
    </row>
    <row r="150" spans="1:47" x14ac:dyDescent="0.3">
      <c r="A150" s="14" t="s">
        <v>1046</v>
      </c>
      <c r="B150" s="13">
        <f t="shared" si="129"/>
        <v>0</v>
      </c>
      <c r="C150" s="13">
        <f t="shared" si="130"/>
        <v>0.09</v>
      </c>
      <c r="D150" s="14" t="str">
        <f>IF((D12&lt;($B$159*D$6))," ", D12)</f>
        <v xml:space="preserve"> </v>
      </c>
      <c r="E150" s="14" t="str">
        <f t="shared" ref="E150:O150" si="134">IF((E12&lt;($B$159*E$6))," ", E12)</f>
        <v xml:space="preserve"> </v>
      </c>
      <c r="F150" s="14" t="str">
        <f t="shared" si="134"/>
        <v xml:space="preserve"> </v>
      </c>
      <c r="G150" s="14" t="str">
        <f t="shared" si="134"/>
        <v xml:space="preserve"> </v>
      </c>
      <c r="H150" s="14" t="str">
        <f t="shared" si="134"/>
        <v xml:space="preserve"> </v>
      </c>
      <c r="I150" s="14" t="str">
        <f t="shared" si="134"/>
        <v xml:space="preserve"> </v>
      </c>
      <c r="J150" s="14" t="str">
        <f t="shared" si="134"/>
        <v xml:space="preserve"> </v>
      </c>
      <c r="K150" s="14" t="str">
        <f t="shared" si="134"/>
        <v xml:space="preserve"> </v>
      </c>
      <c r="L150" s="14" t="str">
        <f t="shared" si="134"/>
        <v xml:space="preserve"> </v>
      </c>
      <c r="M150" s="14" t="str">
        <f t="shared" si="134"/>
        <v xml:space="preserve"> </v>
      </c>
      <c r="N150" s="14" t="str">
        <f t="shared" si="134"/>
        <v xml:space="preserve"> </v>
      </c>
      <c r="O150" s="14" t="str">
        <f t="shared" si="134"/>
        <v xml:space="preserve"> </v>
      </c>
      <c r="R150" s="14" t="str">
        <f t="shared" ref="R150:W150" si="135">IF((R12&lt;($B$159*R$6))," ", R12)</f>
        <v xml:space="preserve"> </v>
      </c>
      <c r="S150" s="14" t="str">
        <f t="shared" si="135"/>
        <v xml:space="preserve"> </v>
      </c>
      <c r="T150" s="14" t="str">
        <f t="shared" si="135"/>
        <v xml:space="preserve"> </v>
      </c>
      <c r="U150" s="14" t="str">
        <f t="shared" si="135"/>
        <v xml:space="preserve"> </v>
      </c>
      <c r="V150" s="14" t="str">
        <f t="shared" si="135"/>
        <v xml:space="preserve"> </v>
      </c>
      <c r="W150" s="14" t="str">
        <f t="shared" si="135"/>
        <v xml:space="preserve"> </v>
      </c>
    </row>
    <row r="151" spans="1:47" x14ac:dyDescent="0.3">
      <c r="A151" s="13" t="s">
        <v>1052</v>
      </c>
      <c r="B151" s="13">
        <f t="shared" si="129"/>
        <v>0</v>
      </c>
      <c r="C151" s="13">
        <f t="shared" si="130"/>
        <v>0.09</v>
      </c>
      <c r="D151" s="14" t="str">
        <f t="shared" si="131"/>
        <v xml:space="preserve"> </v>
      </c>
      <c r="E151" s="14" t="str">
        <f t="shared" si="131"/>
        <v xml:space="preserve"> </v>
      </c>
      <c r="F151" s="14" t="str">
        <f t="shared" si="131"/>
        <v xml:space="preserve"> </v>
      </c>
      <c r="G151" s="14" t="str">
        <f t="shared" si="131"/>
        <v xml:space="preserve"> </v>
      </c>
      <c r="H151" s="14" t="str">
        <f t="shared" si="131"/>
        <v xml:space="preserve"> </v>
      </c>
      <c r="I151" s="14" t="str">
        <f t="shared" si="131"/>
        <v xml:space="preserve"> </v>
      </c>
      <c r="J151" s="14" t="str">
        <f t="shared" si="131"/>
        <v xml:space="preserve"> </v>
      </c>
      <c r="K151" s="14" t="str">
        <f t="shared" si="131"/>
        <v xml:space="preserve"> </v>
      </c>
      <c r="L151" s="14" t="str">
        <f t="shared" si="131"/>
        <v xml:space="preserve"> </v>
      </c>
      <c r="M151" s="14" t="str">
        <f t="shared" si="131"/>
        <v xml:space="preserve"> </v>
      </c>
      <c r="N151" s="14" t="str">
        <f t="shared" si="131"/>
        <v xml:space="preserve"> </v>
      </c>
      <c r="O151" s="14" t="str">
        <f t="shared" si="131"/>
        <v xml:space="preserve"> </v>
      </c>
      <c r="R151" s="14" t="str">
        <f t="shared" ref="R151:W151" si="136">IF((R19&lt;($B$159*R$6))," ", R19)</f>
        <v xml:space="preserve"> </v>
      </c>
      <c r="S151" s="14" t="str">
        <f t="shared" si="136"/>
        <v xml:space="preserve"> </v>
      </c>
      <c r="T151" s="14" t="str">
        <f t="shared" si="136"/>
        <v xml:space="preserve"> </v>
      </c>
      <c r="U151" s="14" t="str">
        <f t="shared" si="136"/>
        <v xml:space="preserve"> </v>
      </c>
      <c r="V151" s="14" t="str">
        <f t="shared" si="136"/>
        <v xml:space="preserve"> </v>
      </c>
      <c r="W151" s="14" t="str">
        <f t="shared" si="136"/>
        <v xml:space="preserve"> </v>
      </c>
    </row>
    <row r="152" spans="1:47" x14ac:dyDescent="0.3">
      <c r="A152" s="13" t="s">
        <v>1059</v>
      </c>
      <c r="B152" s="13">
        <f t="shared" si="129"/>
        <v>0</v>
      </c>
      <c r="C152" s="13">
        <f t="shared" si="130"/>
        <v>0.09</v>
      </c>
      <c r="D152" s="14" t="str">
        <f t="shared" si="131"/>
        <v xml:space="preserve"> </v>
      </c>
      <c r="E152" s="14" t="str">
        <f t="shared" si="131"/>
        <v xml:space="preserve"> </v>
      </c>
      <c r="F152" s="14" t="str">
        <f t="shared" si="131"/>
        <v xml:space="preserve"> </v>
      </c>
      <c r="G152" s="14" t="str">
        <f t="shared" si="131"/>
        <v xml:space="preserve"> </v>
      </c>
      <c r="H152" s="14" t="str">
        <f t="shared" si="131"/>
        <v xml:space="preserve"> </v>
      </c>
      <c r="I152" s="14" t="str">
        <f t="shared" si="131"/>
        <v xml:space="preserve"> </v>
      </c>
      <c r="J152" s="14" t="str">
        <f t="shared" si="131"/>
        <v xml:space="preserve"> </v>
      </c>
      <c r="K152" s="14" t="str">
        <f t="shared" si="131"/>
        <v xml:space="preserve"> </v>
      </c>
      <c r="L152" s="14" t="str">
        <f t="shared" si="131"/>
        <v xml:space="preserve"> </v>
      </c>
      <c r="M152" s="14" t="str">
        <f t="shared" si="131"/>
        <v xml:space="preserve"> </v>
      </c>
      <c r="N152" s="14" t="str">
        <f t="shared" si="131"/>
        <v xml:space="preserve"> </v>
      </c>
      <c r="O152" s="14" t="str">
        <f t="shared" si="131"/>
        <v xml:space="preserve"> </v>
      </c>
      <c r="R152" s="14" t="str">
        <f t="shared" ref="R152:W152" si="137">IF((R20&lt;($B$159*R$6))," ", R20)</f>
        <v xml:space="preserve"> </v>
      </c>
      <c r="S152" s="14" t="str">
        <f t="shared" si="137"/>
        <v xml:space="preserve"> </v>
      </c>
      <c r="T152" s="14" t="str">
        <f t="shared" si="137"/>
        <v xml:space="preserve"> </v>
      </c>
      <c r="U152" s="14" t="str">
        <f t="shared" si="137"/>
        <v xml:space="preserve"> </v>
      </c>
      <c r="V152" s="14" t="str">
        <f t="shared" si="137"/>
        <v xml:space="preserve"> </v>
      </c>
      <c r="W152" s="14" t="str">
        <f t="shared" si="137"/>
        <v xml:space="preserve"> </v>
      </c>
    </row>
    <row r="153" spans="1:47" x14ac:dyDescent="0.3">
      <c r="A153" s="14" t="s">
        <v>1064</v>
      </c>
      <c r="B153" s="13">
        <f t="shared" si="129"/>
        <v>0</v>
      </c>
      <c r="C153" s="13">
        <f t="shared" si="130"/>
        <v>0.09</v>
      </c>
      <c r="D153" s="14" t="str">
        <f>IF((D13&lt;($B$159*D$6))," ", D13)</f>
        <v xml:space="preserve"> </v>
      </c>
      <c r="E153" s="14" t="str">
        <f t="shared" ref="E153:O153" si="138">IF((E13&lt;($B$159*E$6))," ", E13)</f>
        <v xml:space="preserve"> </v>
      </c>
      <c r="F153" s="14" t="str">
        <f t="shared" si="138"/>
        <v xml:space="preserve"> </v>
      </c>
      <c r="G153" s="14" t="str">
        <f t="shared" si="138"/>
        <v xml:space="preserve"> </v>
      </c>
      <c r="H153" s="14" t="str">
        <f t="shared" si="138"/>
        <v xml:space="preserve"> </v>
      </c>
      <c r="I153" s="14" t="str">
        <f t="shared" si="138"/>
        <v xml:space="preserve"> </v>
      </c>
      <c r="J153" s="14" t="str">
        <f t="shared" si="138"/>
        <v xml:space="preserve"> </v>
      </c>
      <c r="K153" s="14" t="str">
        <f t="shared" si="138"/>
        <v xml:space="preserve"> </v>
      </c>
      <c r="L153" s="14" t="str">
        <f t="shared" si="138"/>
        <v xml:space="preserve"> </v>
      </c>
      <c r="M153" s="14" t="str">
        <f t="shared" si="138"/>
        <v xml:space="preserve"> </v>
      </c>
      <c r="N153" s="14" t="str">
        <f t="shared" si="138"/>
        <v xml:space="preserve"> </v>
      </c>
      <c r="O153" s="14" t="str">
        <f t="shared" si="138"/>
        <v xml:space="preserve"> </v>
      </c>
      <c r="R153" s="14" t="str">
        <f t="shared" ref="R153:W153" si="139">IF((R13&lt;($B$159*R$6))," ", R13)</f>
        <v xml:space="preserve"> </v>
      </c>
      <c r="S153" s="14" t="str">
        <f t="shared" si="139"/>
        <v xml:space="preserve"> </v>
      </c>
      <c r="T153" s="14" t="str">
        <f t="shared" si="139"/>
        <v xml:space="preserve"> </v>
      </c>
      <c r="U153" s="14" t="str">
        <f t="shared" si="139"/>
        <v xml:space="preserve"> </v>
      </c>
      <c r="V153" s="14" t="str">
        <f t="shared" si="139"/>
        <v xml:space="preserve"> </v>
      </c>
      <c r="W153" s="14" t="str">
        <f t="shared" si="139"/>
        <v xml:space="preserve"> </v>
      </c>
    </row>
    <row r="154" spans="1:47" x14ac:dyDescent="0.3">
      <c r="A154" s="13" t="s">
        <v>1069</v>
      </c>
      <c r="B154" s="13">
        <f t="shared" si="129"/>
        <v>0</v>
      </c>
      <c r="C154" s="13">
        <f t="shared" si="130"/>
        <v>0.09</v>
      </c>
      <c r="D154" s="14" t="str">
        <f t="shared" si="131"/>
        <v xml:space="preserve"> </v>
      </c>
      <c r="E154" s="14" t="str">
        <f t="shared" si="131"/>
        <v xml:space="preserve"> </v>
      </c>
      <c r="F154" s="14" t="str">
        <f t="shared" si="131"/>
        <v xml:space="preserve"> </v>
      </c>
      <c r="G154" s="14" t="str">
        <f t="shared" si="131"/>
        <v xml:space="preserve"> </v>
      </c>
      <c r="H154" s="14" t="str">
        <f t="shared" si="131"/>
        <v xml:space="preserve"> </v>
      </c>
      <c r="I154" s="14" t="str">
        <f t="shared" si="131"/>
        <v xml:space="preserve"> </v>
      </c>
      <c r="J154" s="14" t="str">
        <f t="shared" si="131"/>
        <v xml:space="preserve"> </v>
      </c>
      <c r="K154" s="14" t="str">
        <f t="shared" si="131"/>
        <v xml:space="preserve"> </v>
      </c>
      <c r="L154" s="14" t="str">
        <f t="shared" si="131"/>
        <v xml:space="preserve"> </v>
      </c>
      <c r="M154" s="14" t="str">
        <f t="shared" si="131"/>
        <v xml:space="preserve"> </v>
      </c>
      <c r="N154" s="14" t="str">
        <f t="shared" si="131"/>
        <v xml:space="preserve"> </v>
      </c>
      <c r="O154" s="14" t="str">
        <f t="shared" si="131"/>
        <v xml:space="preserve"> </v>
      </c>
      <c r="R154" s="14" t="str">
        <f t="shared" ref="R154:W154" si="140">IF((R22&lt;($B$159*R$6))," ", R22)</f>
        <v xml:space="preserve"> </v>
      </c>
      <c r="S154" s="14" t="str">
        <f t="shared" si="140"/>
        <v xml:space="preserve"> </v>
      </c>
      <c r="T154" s="14" t="str">
        <f t="shared" si="140"/>
        <v xml:space="preserve"> </v>
      </c>
      <c r="U154" s="14" t="str">
        <f t="shared" si="140"/>
        <v xml:space="preserve"> </v>
      </c>
      <c r="V154" s="14" t="str">
        <f t="shared" si="140"/>
        <v xml:space="preserve"> </v>
      </c>
      <c r="W154" s="14" t="str">
        <f t="shared" si="140"/>
        <v xml:space="preserve"> </v>
      </c>
    </row>
    <row r="155" spans="1:47" x14ac:dyDescent="0.3">
      <c r="A155" s="13" t="s">
        <v>1073</v>
      </c>
      <c r="B155" s="13">
        <f t="shared" si="129"/>
        <v>0</v>
      </c>
      <c r="C155" s="13">
        <f t="shared" si="130"/>
        <v>0.09</v>
      </c>
      <c r="D155" s="14" t="str">
        <f t="shared" si="131"/>
        <v xml:space="preserve"> </v>
      </c>
      <c r="E155" s="14" t="str">
        <f t="shared" si="131"/>
        <v xml:space="preserve"> </v>
      </c>
      <c r="F155" s="14" t="str">
        <f t="shared" si="131"/>
        <v xml:space="preserve"> </v>
      </c>
      <c r="G155" s="14" t="str">
        <f t="shared" si="131"/>
        <v xml:space="preserve"> </v>
      </c>
      <c r="H155" s="14" t="str">
        <f t="shared" si="131"/>
        <v xml:space="preserve"> </v>
      </c>
      <c r="I155" s="14" t="str">
        <f t="shared" si="131"/>
        <v xml:space="preserve"> </v>
      </c>
      <c r="J155" s="14" t="str">
        <f t="shared" si="131"/>
        <v xml:space="preserve"> </v>
      </c>
      <c r="K155" s="14" t="str">
        <f t="shared" si="131"/>
        <v xml:space="preserve"> </v>
      </c>
      <c r="L155" s="14" t="str">
        <f t="shared" si="131"/>
        <v xml:space="preserve"> </v>
      </c>
      <c r="M155" s="14" t="str">
        <f t="shared" si="131"/>
        <v xml:space="preserve"> </v>
      </c>
      <c r="N155" s="14" t="str">
        <f t="shared" si="131"/>
        <v xml:space="preserve"> </v>
      </c>
      <c r="O155" s="14" t="str">
        <f t="shared" si="131"/>
        <v xml:space="preserve"> </v>
      </c>
      <c r="R155" s="14" t="str">
        <f t="shared" ref="R155:W155" si="141">IF((R23&lt;($B$159*R$6))," ", R23)</f>
        <v xml:space="preserve"> </v>
      </c>
      <c r="S155" s="14" t="str">
        <f t="shared" si="141"/>
        <v xml:space="preserve"> </v>
      </c>
      <c r="T155" s="14" t="str">
        <f t="shared" si="141"/>
        <v xml:space="preserve"> </v>
      </c>
      <c r="U155" s="14" t="str">
        <f t="shared" si="141"/>
        <v xml:space="preserve"> </v>
      </c>
      <c r="V155" s="14" t="str">
        <f t="shared" si="141"/>
        <v xml:space="preserve"> </v>
      </c>
      <c r="W155" s="14" t="str">
        <f t="shared" si="141"/>
        <v xml:space="preserve"> </v>
      </c>
    </row>
    <row r="156" spans="1:47" x14ac:dyDescent="0.3">
      <c r="A156" s="13" t="s">
        <v>1079</v>
      </c>
      <c r="B156" s="13">
        <f t="shared" si="129"/>
        <v>0</v>
      </c>
      <c r="C156" s="13">
        <f t="shared" si="130"/>
        <v>0.09</v>
      </c>
      <c r="D156" s="14" t="str">
        <f t="shared" si="131"/>
        <v xml:space="preserve"> </v>
      </c>
      <c r="E156" s="14" t="str">
        <f t="shared" si="131"/>
        <v xml:space="preserve"> </v>
      </c>
      <c r="F156" s="14" t="str">
        <f t="shared" si="131"/>
        <v xml:space="preserve"> </v>
      </c>
      <c r="G156" s="14" t="str">
        <f t="shared" si="131"/>
        <v xml:space="preserve"> </v>
      </c>
      <c r="H156" s="14" t="str">
        <f t="shared" si="131"/>
        <v xml:space="preserve"> </v>
      </c>
      <c r="I156" s="14" t="str">
        <f t="shared" si="131"/>
        <v xml:space="preserve"> </v>
      </c>
      <c r="J156" s="14" t="str">
        <f t="shared" si="131"/>
        <v xml:space="preserve"> </v>
      </c>
      <c r="K156" s="14" t="str">
        <f t="shared" si="131"/>
        <v xml:space="preserve"> </v>
      </c>
      <c r="L156" s="14" t="str">
        <f t="shared" si="131"/>
        <v xml:space="preserve"> </v>
      </c>
      <c r="M156" s="14" t="str">
        <f t="shared" si="131"/>
        <v xml:space="preserve"> </v>
      </c>
      <c r="N156" s="14" t="str">
        <f t="shared" si="131"/>
        <v xml:space="preserve"> </v>
      </c>
      <c r="O156" s="14" t="str">
        <f t="shared" si="131"/>
        <v xml:space="preserve"> </v>
      </c>
      <c r="R156" s="14" t="str">
        <f t="shared" ref="R156:W156" si="142">IF((R24&lt;($B$159*R$6))," ", R24)</f>
        <v xml:space="preserve"> </v>
      </c>
      <c r="S156" s="14" t="str">
        <f t="shared" si="142"/>
        <v xml:space="preserve"> </v>
      </c>
      <c r="T156" s="14" t="str">
        <f t="shared" si="142"/>
        <v xml:space="preserve"> </v>
      </c>
      <c r="U156" s="14" t="str">
        <f t="shared" si="142"/>
        <v xml:space="preserve"> </v>
      </c>
      <c r="V156" s="14" t="str">
        <f t="shared" si="142"/>
        <v xml:space="preserve"> </v>
      </c>
      <c r="W156" s="14" t="str">
        <f t="shared" si="142"/>
        <v xml:space="preserve"> </v>
      </c>
    </row>
    <row r="157" spans="1:47" x14ac:dyDescent="0.3">
      <c r="A157" s="13" t="s">
        <v>1084</v>
      </c>
      <c r="B157" s="13">
        <f t="shared" si="129"/>
        <v>0</v>
      </c>
      <c r="C157" s="13">
        <f t="shared" si="130"/>
        <v>0.09</v>
      </c>
      <c r="D157" s="14" t="str">
        <f t="shared" si="131"/>
        <v xml:space="preserve"> </v>
      </c>
      <c r="E157" s="14" t="str">
        <f t="shared" si="131"/>
        <v xml:space="preserve"> </v>
      </c>
      <c r="F157" s="14" t="str">
        <f t="shared" si="131"/>
        <v xml:space="preserve"> </v>
      </c>
      <c r="G157" s="14" t="str">
        <f t="shared" si="131"/>
        <v xml:space="preserve"> </v>
      </c>
      <c r="H157" s="14" t="str">
        <f t="shared" si="131"/>
        <v xml:space="preserve"> </v>
      </c>
      <c r="I157" s="14" t="str">
        <f t="shared" si="131"/>
        <v xml:space="preserve"> </v>
      </c>
      <c r="J157" s="14" t="str">
        <f t="shared" si="131"/>
        <v xml:space="preserve"> </v>
      </c>
      <c r="K157" s="14" t="str">
        <f t="shared" si="131"/>
        <v xml:space="preserve"> </v>
      </c>
      <c r="L157" s="14" t="str">
        <f t="shared" si="131"/>
        <v xml:space="preserve"> </v>
      </c>
      <c r="M157" s="14" t="str">
        <f t="shared" si="131"/>
        <v xml:space="preserve"> </v>
      </c>
      <c r="N157" s="14" t="str">
        <f t="shared" si="131"/>
        <v xml:space="preserve"> </v>
      </c>
      <c r="O157" s="14" t="str">
        <f t="shared" si="131"/>
        <v xml:space="preserve"> </v>
      </c>
      <c r="R157" s="14" t="str">
        <f t="shared" ref="R157:W157" si="143">IF((R25&lt;($B$159*R$6))," ", R25)</f>
        <v xml:space="preserve"> </v>
      </c>
      <c r="S157" s="14" t="str">
        <f t="shared" si="143"/>
        <v xml:space="preserve"> </v>
      </c>
      <c r="T157" s="14" t="str">
        <f t="shared" si="143"/>
        <v xml:space="preserve"> </v>
      </c>
      <c r="U157" s="14" t="str">
        <f t="shared" si="143"/>
        <v xml:space="preserve"> </v>
      </c>
      <c r="V157" s="14" t="str">
        <f t="shared" si="143"/>
        <v xml:space="preserve"> </v>
      </c>
      <c r="W157" s="14" t="str">
        <f t="shared" si="143"/>
        <v xml:space="preserve"> </v>
      </c>
    </row>
    <row r="158" spans="1:47" x14ac:dyDescent="0.3">
      <c r="A158" s="13" t="s">
        <v>1089</v>
      </c>
      <c r="B158" s="13">
        <f t="shared" si="129"/>
        <v>0</v>
      </c>
      <c r="C158" s="13">
        <f t="shared" si="130"/>
        <v>0.09</v>
      </c>
      <c r="D158" s="14" t="str">
        <f t="shared" si="131"/>
        <v xml:space="preserve"> </v>
      </c>
      <c r="E158" s="14" t="str">
        <f t="shared" si="131"/>
        <v xml:space="preserve"> </v>
      </c>
      <c r="F158" s="14" t="str">
        <f t="shared" si="131"/>
        <v xml:space="preserve"> </v>
      </c>
      <c r="G158" s="14" t="str">
        <f t="shared" si="131"/>
        <v xml:space="preserve"> </v>
      </c>
      <c r="H158" s="14" t="str">
        <f t="shared" si="131"/>
        <v xml:space="preserve"> </v>
      </c>
      <c r="I158" s="14" t="str">
        <f t="shared" si="131"/>
        <v xml:space="preserve"> </v>
      </c>
      <c r="J158" s="14" t="str">
        <f t="shared" si="131"/>
        <v xml:space="preserve"> </v>
      </c>
      <c r="K158" s="14" t="str">
        <f t="shared" si="131"/>
        <v xml:space="preserve"> </v>
      </c>
      <c r="L158" s="14" t="str">
        <f t="shared" si="131"/>
        <v xml:space="preserve"> </v>
      </c>
      <c r="M158" s="14" t="str">
        <f t="shared" si="131"/>
        <v xml:space="preserve"> </v>
      </c>
      <c r="N158" s="14" t="str">
        <f t="shared" si="131"/>
        <v xml:space="preserve"> </v>
      </c>
      <c r="O158" s="14" t="str">
        <f t="shared" si="131"/>
        <v xml:space="preserve"> </v>
      </c>
      <c r="R158" s="14" t="str">
        <f t="shared" ref="R158:W158" si="144">IF((R26&lt;($B$159*R$6))," ", R26)</f>
        <v xml:space="preserve"> </v>
      </c>
      <c r="S158" s="14" t="str">
        <f t="shared" si="144"/>
        <v xml:space="preserve"> </v>
      </c>
      <c r="T158" s="14" t="str">
        <f t="shared" si="144"/>
        <v xml:space="preserve"> </v>
      </c>
      <c r="U158" s="14" t="str">
        <f t="shared" si="144"/>
        <v xml:space="preserve"> </v>
      </c>
      <c r="V158" s="14" t="str">
        <f t="shared" si="144"/>
        <v xml:space="preserve"> </v>
      </c>
      <c r="W158" s="14" t="str">
        <f t="shared" si="144"/>
        <v xml:space="preserve"> </v>
      </c>
    </row>
    <row r="159" spans="1:47" x14ac:dyDescent="0.3">
      <c r="B159" s="9">
        <v>5</v>
      </c>
      <c r="C159" s="10">
        <f>SUM(C147:C158)/12</f>
        <v>8.9999999999999983E-2</v>
      </c>
    </row>
    <row r="161" spans="1:25" ht="28.8" x14ac:dyDescent="0.3">
      <c r="A161" t="s">
        <v>2442</v>
      </c>
      <c r="B161" s="15" t="s">
        <v>2436</v>
      </c>
      <c r="C161" s="15" t="s">
        <v>2438</v>
      </c>
    </row>
    <row r="162" spans="1:25" x14ac:dyDescent="0.3">
      <c r="A162" s="13" t="s">
        <v>1095</v>
      </c>
      <c r="B162" s="13">
        <f>COUNT(D162:Y162)</f>
        <v>0</v>
      </c>
      <c r="C162" s="9">
        <v>0.09</v>
      </c>
      <c r="D162" s="14" t="str">
        <f>IF((D29&lt;D$6)," ", D29)</f>
        <v xml:space="preserve"> </v>
      </c>
      <c r="E162" s="14" t="str">
        <f t="shared" ref="E162:O162" si="145">IF((E29&lt;E$6)," ", E29)</f>
        <v xml:space="preserve"> </v>
      </c>
      <c r="F162" s="14" t="str">
        <f t="shared" si="145"/>
        <v xml:space="preserve"> </v>
      </c>
      <c r="G162" s="14" t="str">
        <f t="shared" si="145"/>
        <v xml:space="preserve"> </v>
      </c>
      <c r="H162" s="14" t="str">
        <f t="shared" si="145"/>
        <v xml:space="preserve"> </v>
      </c>
      <c r="I162" s="14" t="str">
        <f t="shared" si="145"/>
        <v xml:space="preserve"> </v>
      </c>
      <c r="J162" s="14" t="str">
        <f t="shared" si="145"/>
        <v xml:space="preserve"> </v>
      </c>
      <c r="K162" s="14" t="str">
        <f t="shared" si="145"/>
        <v xml:space="preserve"> </v>
      </c>
      <c r="L162" s="14" t="str">
        <f t="shared" si="145"/>
        <v xml:space="preserve"> </v>
      </c>
      <c r="M162" s="14" t="str">
        <f t="shared" si="145"/>
        <v xml:space="preserve"> </v>
      </c>
      <c r="N162" s="14" t="str">
        <f t="shared" si="145"/>
        <v xml:space="preserve"> </v>
      </c>
      <c r="O162" s="14" t="str">
        <f t="shared" si="145"/>
        <v xml:space="preserve"> </v>
      </c>
      <c r="P162" s="14"/>
      <c r="Q162" s="14" t="str">
        <f>IF((Q29&gt;Q$6)," ", Q29)</f>
        <v xml:space="preserve"> </v>
      </c>
      <c r="R162" s="14" t="str">
        <f t="shared" ref="R162:W162" si="146">IF((R29&lt;R$6)," ", R29)</f>
        <v xml:space="preserve"> </v>
      </c>
      <c r="S162" s="14" t="str">
        <f t="shared" si="146"/>
        <v xml:space="preserve"> </v>
      </c>
      <c r="T162" s="14" t="str">
        <f t="shared" si="146"/>
        <v xml:space="preserve"> </v>
      </c>
      <c r="U162" s="14" t="str">
        <f t="shared" si="146"/>
        <v xml:space="preserve"> </v>
      </c>
      <c r="V162" s="14" t="str">
        <f t="shared" si="146"/>
        <v xml:space="preserve"> </v>
      </c>
      <c r="W162" s="14" t="str">
        <f t="shared" si="146"/>
        <v xml:space="preserve"> </v>
      </c>
      <c r="X162" s="14" t="str">
        <f>IF((X29&gt;X$6)," ", X29)</f>
        <v xml:space="preserve"> </v>
      </c>
      <c r="Y162" s="14" t="str">
        <f>IF((Y29&lt;Y$6)," ", Y29)</f>
        <v xml:space="preserve"> </v>
      </c>
    </row>
    <row r="163" spans="1:25" x14ac:dyDescent="0.3">
      <c r="A163" s="13" t="s">
        <v>1101</v>
      </c>
      <c r="B163" s="13">
        <f t="shared" ref="B163:B173" si="147">COUNT(D163:Y163)</f>
        <v>0</v>
      </c>
      <c r="C163" s="9">
        <v>0.09</v>
      </c>
      <c r="D163" s="14" t="str">
        <f t="shared" ref="D163:D173" si="148">IF((D30&lt;D$6)," ", D30)</f>
        <v xml:space="preserve"> </v>
      </c>
      <c r="E163" s="14" t="str">
        <f t="shared" ref="E163:O163" si="149">IF((E30&lt;E$6)," ", E30)</f>
        <v xml:space="preserve"> </v>
      </c>
      <c r="F163" s="14" t="str">
        <f t="shared" si="149"/>
        <v xml:space="preserve"> </v>
      </c>
      <c r="G163" s="14" t="str">
        <f t="shared" si="149"/>
        <v xml:space="preserve"> </v>
      </c>
      <c r="H163" s="14" t="str">
        <f t="shared" si="149"/>
        <v xml:space="preserve"> </v>
      </c>
      <c r="I163" s="14" t="str">
        <f t="shared" si="149"/>
        <v xml:space="preserve"> </v>
      </c>
      <c r="J163" s="14" t="str">
        <f t="shared" si="149"/>
        <v xml:space="preserve"> </v>
      </c>
      <c r="K163" s="14" t="str">
        <f t="shared" si="149"/>
        <v xml:space="preserve"> </v>
      </c>
      <c r="L163" s="14" t="str">
        <f t="shared" si="149"/>
        <v xml:space="preserve"> </v>
      </c>
      <c r="M163" s="14" t="str">
        <f t="shared" si="149"/>
        <v xml:space="preserve"> </v>
      </c>
      <c r="N163" s="14" t="str">
        <f t="shared" si="149"/>
        <v xml:space="preserve"> </v>
      </c>
      <c r="O163" s="14" t="str">
        <f t="shared" si="149"/>
        <v xml:space="preserve"> </v>
      </c>
      <c r="P163" s="14"/>
      <c r="Q163" s="14" t="str">
        <f t="shared" ref="Q163:Q173" si="150">IF((Q30&gt;Q$6)," ", Q30)</f>
        <v xml:space="preserve"> </v>
      </c>
      <c r="R163" s="14" t="str">
        <f t="shared" ref="R163:W163" si="151">IF((R30&lt;R$6)," ", R30)</f>
        <v xml:space="preserve"> </v>
      </c>
      <c r="S163" s="14" t="str">
        <f t="shared" si="151"/>
        <v xml:space="preserve"> </v>
      </c>
      <c r="T163" s="14" t="str">
        <f t="shared" si="151"/>
        <v xml:space="preserve"> </v>
      </c>
      <c r="U163" s="14" t="str">
        <f t="shared" si="151"/>
        <v xml:space="preserve"> </v>
      </c>
      <c r="V163" s="14" t="str">
        <f t="shared" si="151"/>
        <v xml:space="preserve"> </v>
      </c>
      <c r="W163" s="14" t="str">
        <f t="shared" si="151"/>
        <v xml:space="preserve"> </v>
      </c>
      <c r="X163" s="14" t="str">
        <f t="shared" ref="X163:X173" si="152">IF((X30&gt;X$6)," ", X30)</f>
        <v xml:space="preserve"> </v>
      </c>
      <c r="Y163" s="14" t="str">
        <f t="shared" ref="Y163:Y173" si="153">IF((Y30&lt;Y$6)," ", Y30)</f>
        <v xml:space="preserve"> </v>
      </c>
    </row>
    <row r="164" spans="1:25" x14ac:dyDescent="0.3">
      <c r="A164" s="13" t="s">
        <v>1106</v>
      </c>
      <c r="B164" s="13">
        <f t="shared" si="147"/>
        <v>0</v>
      </c>
      <c r="C164" s="9">
        <v>0.09</v>
      </c>
      <c r="D164" s="14" t="str">
        <f t="shared" si="148"/>
        <v xml:space="preserve"> </v>
      </c>
      <c r="E164" s="14" t="str">
        <f t="shared" ref="E164:O164" si="154">IF((E31&lt;E$6)," ", E31)</f>
        <v xml:space="preserve"> </v>
      </c>
      <c r="F164" s="14" t="str">
        <f t="shared" si="154"/>
        <v xml:space="preserve"> </v>
      </c>
      <c r="G164" s="14" t="str">
        <f t="shared" si="154"/>
        <v xml:space="preserve"> </v>
      </c>
      <c r="H164" s="14" t="str">
        <f t="shared" si="154"/>
        <v xml:space="preserve"> </v>
      </c>
      <c r="I164" s="14" t="str">
        <f t="shared" si="154"/>
        <v xml:space="preserve"> </v>
      </c>
      <c r="J164" s="14" t="str">
        <f t="shared" si="154"/>
        <v xml:space="preserve"> </v>
      </c>
      <c r="K164" s="14" t="str">
        <f t="shared" si="154"/>
        <v xml:space="preserve"> </v>
      </c>
      <c r="L164" s="14" t="str">
        <f t="shared" si="154"/>
        <v xml:space="preserve"> </v>
      </c>
      <c r="M164" s="14" t="str">
        <f t="shared" si="154"/>
        <v xml:space="preserve"> </v>
      </c>
      <c r="N164" s="14" t="str">
        <f t="shared" si="154"/>
        <v xml:space="preserve"> </v>
      </c>
      <c r="O164" s="14" t="str">
        <f t="shared" si="154"/>
        <v xml:space="preserve"> </v>
      </c>
      <c r="P164" s="14" t="str">
        <f>IF((P31&gt;P$6)," ", P31)</f>
        <v xml:space="preserve"> </v>
      </c>
      <c r="Q164" s="14"/>
      <c r="R164" s="14" t="str">
        <f t="shared" ref="R164:W164" si="155">IF((R31&lt;R$6)," ", R31)</f>
        <v xml:space="preserve"> </v>
      </c>
      <c r="S164" s="14" t="str">
        <f t="shared" si="155"/>
        <v xml:space="preserve"> </v>
      </c>
      <c r="T164" s="14" t="str">
        <f t="shared" si="155"/>
        <v xml:space="preserve"> </v>
      </c>
      <c r="U164" s="14" t="str">
        <f t="shared" si="155"/>
        <v xml:space="preserve"> </v>
      </c>
      <c r="V164" s="14" t="str">
        <f t="shared" si="155"/>
        <v xml:space="preserve"> </v>
      </c>
      <c r="W164" s="14" t="str">
        <f t="shared" si="155"/>
        <v xml:space="preserve"> </v>
      </c>
      <c r="X164" s="14" t="str">
        <f t="shared" si="152"/>
        <v xml:space="preserve"> </v>
      </c>
      <c r="Y164" s="14" t="str">
        <f t="shared" si="153"/>
        <v xml:space="preserve"> </v>
      </c>
    </row>
    <row r="165" spans="1:25" x14ac:dyDescent="0.3">
      <c r="A165" s="13" t="s">
        <v>1110</v>
      </c>
      <c r="B165" s="13">
        <f t="shared" si="147"/>
        <v>0</v>
      </c>
      <c r="C165" s="9">
        <v>0.09</v>
      </c>
      <c r="D165" s="14" t="str">
        <f t="shared" si="148"/>
        <v xml:space="preserve"> </v>
      </c>
      <c r="E165" s="14" t="str">
        <f t="shared" ref="E165:O165" si="156">IF((E32&lt;E$6)," ", E32)</f>
        <v xml:space="preserve"> </v>
      </c>
      <c r="F165" s="14" t="str">
        <f t="shared" si="156"/>
        <v xml:space="preserve"> </v>
      </c>
      <c r="G165" s="14" t="str">
        <f t="shared" si="156"/>
        <v xml:space="preserve"> </v>
      </c>
      <c r="H165" s="14" t="str">
        <f t="shared" si="156"/>
        <v xml:space="preserve"> </v>
      </c>
      <c r="I165" s="14" t="str">
        <f t="shared" si="156"/>
        <v xml:space="preserve"> </v>
      </c>
      <c r="J165" s="14" t="str">
        <f t="shared" si="156"/>
        <v xml:space="preserve"> </v>
      </c>
      <c r="K165" s="14" t="str">
        <f t="shared" si="156"/>
        <v xml:space="preserve"> </v>
      </c>
      <c r="L165" s="14" t="str">
        <f t="shared" si="156"/>
        <v xml:space="preserve"> </v>
      </c>
      <c r="M165" s="14" t="str">
        <f t="shared" si="156"/>
        <v xml:space="preserve"> </v>
      </c>
      <c r="N165" s="14" t="str">
        <f t="shared" si="156"/>
        <v xml:space="preserve"> </v>
      </c>
      <c r="O165" s="14" t="str">
        <f t="shared" si="156"/>
        <v xml:space="preserve"> </v>
      </c>
      <c r="P165" s="14" t="str">
        <f t="shared" ref="P165:P168" si="157">IF((P32&gt;P$6)," ", P32)</f>
        <v xml:space="preserve"> </v>
      </c>
      <c r="Q165" s="14"/>
      <c r="R165" s="14" t="str">
        <f t="shared" ref="R165:W165" si="158">IF((R32&lt;R$6)," ", R32)</f>
        <v xml:space="preserve"> </v>
      </c>
      <c r="S165" s="14" t="str">
        <f t="shared" si="158"/>
        <v xml:space="preserve"> </v>
      </c>
      <c r="T165" s="14" t="str">
        <f t="shared" si="158"/>
        <v xml:space="preserve"> </v>
      </c>
      <c r="U165" s="14" t="str">
        <f t="shared" si="158"/>
        <v xml:space="preserve"> </v>
      </c>
      <c r="V165" s="14" t="str">
        <f t="shared" si="158"/>
        <v xml:space="preserve"> </v>
      </c>
      <c r="W165" s="14" t="str">
        <f t="shared" si="158"/>
        <v xml:space="preserve"> </v>
      </c>
      <c r="X165" s="14" t="str">
        <f t="shared" si="152"/>
        <v xml:space="preserve"> </v>
      </c>
      <c r="Y165" s="14" t="str">
        <f t="shared" si="153"/>
        <v xml:space="preserve"> </v>
      </c>
    </row>
    <row r="166" spans="1:25" x14ac:dyDescent="0.3">
      <c r="A166" s="13" t="s">
        <v>1117</v>
      </c>
      <c r="B166" s="13">
        <f t="shared" si="147"/>
        <v>0</v>
      </c>
      <c r="C166" s="9">
        <v>0.09</v>
      </c>
      <c r="D166" s="14" t="str">
        <f t="shared" si="148"/>
        <v xml:space="preserve"> </v>
      </c>
      <c r="E166" s="14" t="str">
        <f t="shared" ref="E166:O166" si="159">IF((E33&lt;E$6)," ", E33)</f>
        <v xml:space="preserve"> </v>
      </c>
      <c r="F166" s="14" t="str">
        <f t="shared" si="159"/>
        <v xml:space="preserve"> </v>
      </c>
      <c r="G166" s="14" t="str">
        <f t="shared" si="159"/>
        <v xml:space="preserve"> </v>
      </c>
      <c r="H166" s="14" t="str">
        <f t="shared" si="159"/>
        <v xml:space="preserve"> </v>
      </c>
      <c r="I166" s="14" t="str">
        <f t="shared" si="159"/>
        <v xml:space="preserve"> </v>
      </c>
      <c r="J166" s="14" t="str">
        <f t="shared" si="159"/>
        <v xml:space="preserve"> </v>
      </c>
      <c r="K166" s="14" t="str">
        <f t="shared" si="159"/>
        <v xml:space="preserve"> </v>
      </c>
      <c r="L166" s="14" t="str">
        <f t="shared" si="159"/>
        <v xml:space="preserve"> </v>
      </c>
      <c r="M166" s="14" t="str">
        <f t="shared" si="159"/>
        <v xml:space="preserve"> </v>
      </c>
      <c r="N166" s="14" t="str">
        <f t="shared" si="159"/>
        <v xml:space="preserve"> </v>
      </c>
      <c r="O166" s="14" t="str">
        <f t="shared" si="159"/>
        <v xml:space="preserve"> </v>
      </c>
      <c r="P166" s="14" t="str">
        <f t="shared" si="157"/>
        <v xml:space="preserve"> </v>
      </c>
      <c r="Q166" s="14"/>
      <c r="R166" s="14" t="str">
        <f t="shared" ref="R166:W166" si="160">IF((R33&lt;R$6)," ", R33)</f>
        <v xml:space="preserve"> </v>
      </c>
      <c r="S166" s="14" t="str">
        <f t="shared" si="160"/>
        <v xml:space="preserve"> </v>
      </c>
      <c r="T166" s="14" t="str">
        <f t="shared" si="160"/>
        <v xml:space="preserve"> </v>
      </c>
      <c r="U166" s="14" t="str">
        <f t="shared" si="160"/>
        <v xml:space="preserve"> </v>
      </c>
      <c r="V166" s="14" t="str">
        <f t="shared" si="160"/>
        <v xml:space="preserve"> </v>
      </c>
      <c r="W166" s="14" t="str">
        <f t="shared" si="160"/>
        <v xml:space="preserve"> </v>
      </c>
      <c r="X166" s="14" t="str">
        <f t="shared" si="152"/>
        <v xml:space="preserve"> </v>
      </c>
      <c r="Y166" s="14" t="str">
        <f t="shared" si="153"/>
        <v xml:space="preserve"> </v>
      </c>
    </row>
    <row r="167" spans="1:25" x14ac:dyDescent="0.3">
      <c r="A167" s="13" t="s">
        <v>1123</v>
      </c>
      <c r="B167" s="13">
        <f t="shared" si="147"/>
        <v>0</v>
      </c>
      <c r="C167" s="9">
        <v>0.09</v>
      </c>
      <c r="D167" s="14" t="str">
        <f t="shared" si="148"/>
        <v xml:space="preserve"> </v>
      </c>
      <c r="E167" s="14" t="str">
        <f t="shared" ref="E167:O167" si="161">IF((E34&lt;E$6)," ", E34)</f>
        <v xml:space="preserve"> </v>
      </c>
      <c r="F167" s="14" t="str">
        <f t="shared" si="161"/>
        <v xml:space="preserve"> </v>
      </c>
      <c r="G167" s="14" t="str">
        <f t="shared" si="161"/>
        <v xml:space="preserve"> </v>
      </c>
      <c r="H167" s="14" t="str">
        <f t="shared" si="161"/>
        <v xml:space="preserve"> </v>
      </c>
      <c r="I167" s="14" t="str">
        <f t="shared" si="161"/>
        <v xml:space="preserve"> </v>
      </c>
      <c r="J167" s="14" t="str">
        <f t="shared" si="161"/>
        <v xml:space="preserve"> </v>
      </c>
      <c r="K167" s="14" t="str">
        <f t="shared" si="161"/>
        <v xml:space="preserve"> </v>
      </c>
      <c r="L167" s="14" t="str">
        <f t="shared" si="161"/>
        <v xml:space="preserve"> </v>
      </c>
      <c r="M167" s="14" t="str">
        <f t="shared" si="161"/>
        <v xml:space="preserve"> </v>
      </c>
      <c r="N167" s="14" t="str">
        <f t="shared" si="161"/>
        <v xml:space="preserve"> </v>
      </c>
      <c r="O167" s="14" t="str">
        <f t="shared" si="161"/>
        <v xml:space="preserve"> </v>
      </c>
      <c r="P167" s="14" t="str">
        <f t="shared" si="157"/>
        <v xml:space="preserve"> </v>
      </c>
      <c r="Q167" s="14"/>
      <c r="R167" s="14" t="str">
        <f t="shared" ref="R167:W167" si="162">IF((R34&lt;R$6)," ", R34)</f>
        <v xml:space="preserve"> </v>
      </c>
      <c r="S167" s="14" t="str">
        <f t="shared" si="162"/>
        <v xml:space="preserve"> </v>
      </c>
      <c r="T167" s="14" t="str">
        <f t="shared" si="162"/>
        <v xml:space="preserve"> </v>
      </c>
      <c r="U167" s="14" t="str">
        <f t="shared" si="162"/>
        <v xml:space="preserve"> </v>
      </c>
      <c r="V167" s="14" t="str">
        <f t="shared" si="162"/>
        <v xml:space="preserve"> </v>
      </c>
      <c r="W167" s="14" t="str">
        <f t="shared" si="162"/>
        <v xml:space="preserve"> </v>
      </c>
      <c r="X167" s="14" t="str">
        <f t="shared" si="152"/>
        <v xml:space="preserve"> </v>
      </c>
      <c r="Y167" s="14" t="str">
        <f t="shared" si="153"/>
        <v xml:space="preserve"> </v>
      </c>
    </row>
    <row r="168" spans="1:25" x14ac:dyDescent="0.3">
      <c r="A168" s="13" t="s">
        <v>1127</v>
      </c>
      <c r="B168" s="13">
        <f t="shared" si="147"/>
        <v>1</v>
      </c>
      <c r="C168" s="9">
        <v>7.4999999999999997E-2</v>
      </c>
      <c r="D168" s="14" t="str">
        <f t="shared" si="148"/>
        <v xml:space="preserve"> </v>
      </c>
      <c r="E168" s="14" t="str">
        <f t="shared" ref="E168:O168" si="163">IF((E35&lt;E$6)," ", E35)</f>
        <v xml:space="preserve"> </v>
      </c>
      <c r="F168" s="14" t="str">
        <f t="shared" si="163"/>
        <v xml:space="preserve"> </v>
      </c>
      <c r="G168" s="14" t="str">
        <f t="shared" si="163"/>
        <v xml:space="preserve"> </v>
      </c>
      <c r="H168" s="14" t="str">
        <f t="shared" si="163"/>
        <v xml:space="preserve"> </v>
      </c>
      <c r="I168" s="14" t="str">
        <f t="shared" si="163"/>
        <v xml:space="preserve"> </v>
      </c>
      <c r="J168" s="14" t="str">
        <f t="shared" si="163"/>
        <v xml:space="preserve"> </v>
      </c>
      <c r="K168" s="14" t="str">
        <f t="shared" si="163"/>
        <v xml:space="preserve"> </v>
      </c>
      <c r="L168" s="14" t="str">
        <f t="shared" si="163"/>
        <v xml:space="preserve"> </v>
      </c>
      <c r="M168" s="14" t="str">
        <f t="shared" si="163"/>
        <v xml:space="preserve"> </v>
      </c>
      <c r="N168" s="14" t="str">
        <f t="shared" si="163"/>
        <v xml:space="preserve"> </v>
      </c>
      <c r="O168" s="14">
        <f t="shared" si="163"/>
        <v>4.55</v>
      </c>
      <c r="P168" s="14" t="str">
        <f t="shared" si="157"/>
        <v xml:space="preserve"> </v>
      </c>
      <c r="Q168" s="14"/>
      <c r="R168" s="14" t="str">
        <f t="shared" ref="R168:W168" si="164">IF((R35&lt;R$6)," ", R35)</f>
        <v xml:space="preserve"> </v>
      </c>
      <c r="S168" s="14" t="str">
        <f t="shared" si="164"/>
        <v xml:space="preserve"> </v>
      </c>
      <c r="T168" s="14" t="str">
        <f t="shared" si="164"/>
        <v xml:space="preserve"> </v>
      </c>
      <c r="U168" s="14" t="str">
        <f t="shared" si="164"/>
        <v xml:space="preserve"> </v>
      </c>
      <c r="V168" s="14" t="str">
        <f t="shared" si="164"/>
        <v xml:space="preserve"> </v>
      </c>
      <c r="W168" s="14" t="str">
        <f t="shared" si="164"/>
        <v xml:space="preserve"> </v>
      </c>
      <c r="X168" s="14" t="str">
        <f t="shared" si="152"/>
        <v xml:space="preserve"> </v>
      </c>
      <c r="Y168" s="14" t="str">
        <f t="shared" si="153"/>
        <v xml:space="preserve"> </v>
      </c>
    </row>
    <row r="169" spans="1:25" x14ac:dyDescent="0.3">
      <c r="A169" s="13" t="s">
        <v>1134</v>
      </c>
      <c r="B169" s="13">
        <f t="shared" si="147"/>
        <v>2</v>
      </c>
      <c r="C169" s="9">
        <v>7.4999999999999997E-2</v>
      </c>
      <c r="D169" s="14" t="str">
        <f t="shared" si="148"/>
        <v xml:space="preserve"> </v>
      </c>
      <c r="E169" s="14" t="str">
        <f t="shared" ref="E169:O169" si="165">IF((E36&lt;E$6)," ", E36)</f>
        <v xml:space="preserve"> </v>
      </c>
      <c r="F169" s="14" t="str">
        <f t="shared" si="165"/>
        <v xml:space="preserve"> </v>
      </c>
      <c r="G169" s="14" t="str">
        <f t="shared" si="165"/>
        <v xml:space="preserve"> </v>
      </c>
      <c r="H169" s="14" t="str">
        <f t="shared" si="165"/>
        <v xml:space="preserve"> </v>
      </c>
      <c r="I169" s="14" t="str">
        <f t="shared" si="165"/>
        <v xml:space="preserve"> </v>
      </c>
      <c r="J169" s="14" t="str">
        <f t="shared" si="165"/>
        <v xml:space="preserve"> </v>
      </c>
      <c r="K169" s="14" t="str">
        <f t="shared" si="165"/>
        <v xml:space="preserve"> </v>
      </c>
      <c r="L169" s="14">
        <f t="shared" si="165"/>
        <v>4.8</v>
      </c>
      <c r="M169" s="14" t="str">
        <f t="shared" si="165"/>
        <v xml:space="preserve"> </v>
      </c>
      <c r="N169" s="14">
        <f t="shared" si="165"/>
        <v>6.2</v>
      </c>
      <c r="O169" s="14" t="str">
        <f t="shared" si="165"/>
        <v xml:space="preserve"> </v>
      </c>
      <c r="P169" s="14"/>
      <c r="Q169" s="14" t="str">
        <f t="shared" si="150"/>
        <v xml:space="preserve"> </v>
      </c>
      <c r="R169" s="14" t="str">
        <f t="shared" ref="R169:W169" si="166">IF((R36&lt;R$6)," ", R36)</f>
        <v xml:space="preserve"> </v>
      </c>
      <c r="S169" s="14" t="str">
        <f t="shared" si="166"/>
        <v xml:space="preserve"> </v>
      </c>
      <c r="T169" s="14" t="str">
        <f t="shared" si="166"/>
        <v xml:space="preserve"> </v>
      </c>
      <c r="U169" s="14" t="str">
        <f t="shared" si="166"/>
        <v xml:space="preserve"> </v>
      </c>
      <c r="V169" s="14" t="str">
        <f t="shared" si="166"/>
        <v xml:space="preserve"> </v>
      </c>
      <c r="W169" s="14" t="str">
        <f t="shared" si="166"/>
        <v xml:space="preserve"> </v>
      </c>
      <c r="X169" s="14" t="str">
        <f t="shared" si="152"/>
        <v xml:space="preserve"> </v>
      </c>
      <c r="Y169" s="14" t="str">
        <f t="shared" si="153"/>
        <v xml:space="preserve"> </v>
      </c>
    </row>
    <row r="170" spans="1:25" x14ac:dyDescent="0.3">
      <c r="A170" s="13" t="s">
        <v>1140</v>
      </c>
      <c r="B170" s="13">
        <f t="shared" si="147"/>
        <v>0</v>
      </c>
      <c r="C170" s="9">
        <v>0.09</v>
      </c>
      <c r="D170" s="14" t="str">
        <f t="shared" si="148"/>
        <v xml:space="preserve"> </v>
      </c>
      <c r="E170" s="14" t="str">
        <f t="shared" ref="E170:O170" si="167">IF((E37&lt;E$6)," ", E37)</f>
        <v xml:space="preserve"> </v>
      </c>
      <c r="F170" s="14" t="str">
        <f t="shared" si="167"/>
        <v xml:space="preserve"> </v>
      </c>
      <c r="G170" s="14" t="str">
        <f t="shared" si="167"/>
        <v xml:space="preserve"> </v>
      </c>
      <c r="H170" s="14" t="str">
        <f t="shared" si="167"/>
        <v xml:space="preserve"> </v>
      </c>
      <c r="I170" s="14" t="str">
        <f t="shared" si="167"/>
        <v xml:space="preserve"> </v>
      </c>
      <c r="J170" s="14" t="str">
        <f t="shared" si="167"/>
        <v xml:space="preserve"> </v>
      </c>
      <c r="K170" s="14" t="str">
        <f t="shared" si="167"/>
        <v xml:space="preserve"> </v>
      </c>
      <c r="L170" s="14" t="str">
        <f t="shared" si="167"/>
        <v xml:space="preserve"> </v>
      </c>
      <c r="M170" s="14" t="str">
        <f t="shared" si="167"/>
        <v xml:space="preserve"> </v>
      </c>
      <c r="N170" s="14" t="str">
        <f t="shared" si="167"/>
        <v xml:space="preserve"> </v>
      </c>
      <c r="O170" s="14" t="str">
        <f t="shared" si="167"/>
        <v xml:space="preserve"> </v>
      </c>
      <c r="P170" s="14"/>
      <c r="Q170" s="14" t="str">
        <f t="shared" si="150"/>
        <v xml:space="preserve"> </v>
      </c>
      <c r="R170" s="14" t="str">
        <f t="shared" ref="R170:W170" si="168">IF((R37&lt;R$6)," ", R37)</f>
        <v xml:space="preserve"> </v>
      </c>
      <c r="S170" s="14" t="str">
        <f t="shared" si="168"/>
        <v xml:space="preserve"> </v>
      </c>
      <c r="T170" s="14" t="str">
        <f t="shared" si="168"/>
        <v xml:space="preserve"> </v>
      </c>
      <c r="U170" s="14" t="str">
        <f t="shared" si="168"/>
        <v xml:space="preserve"> </v>
      </c>
      <c r="V170" s="14" t="str">
        <f t="shared" si="168"/>
        <v xml:space="preserve"> </v>
      </c>
      <c r="W170" s="14" t="str">
        <f t="shared" si="168"/>
        <v xml:space="preserve"> </v>
      </c>
      <c r="X170" s="14" t="str">
        <f t="shared" si="152"/>
        <v xml:space="preserve"> </v>
      </c>
      <c r="Y170" s="14" t="str">
        <f t="shared" si="153"/>
        <v xml:space="preserve"> </v>
      </c>
    </row>
    <row r="171" spans="1:25" x14ac:dyDescent="0.3">
      <c r="A171" s="13" t="s">
        <v>1144</v>
      </c>
      <c r="B171" s="13">
        <f t="shared" si="147"/>
        <v>0</v>
      </c>
      <c r="C171" s="9">
        <v>0.09</v>
      </c>
      <c r="D171" s="14" t="str">
        <f t="shared" si="148"/>
        <v xml:space="preserve"> </v>
      </c>
      <c r="E171" s="14" t="str">
        <f t="shared" ref="E171:O171" si="169">IF((E38&lt;E$6)," ", E38)</f>
        <v xml:space="preserve"> </v>
      </c>
      <c r="F171" s="14" t="str">
        <f t="shared" si="169"/>
        <v xml:space="preserve"> </v>
      </c>
      <c r="G171" s="14" t="str">
        <f t="shared" si="169"/>
        <v xml:space="preserve"> </v>
      </c>
      <c r="H171" s="14" t="str">
        <f t="shared" si="169"/>
        <v xml:space="preserve"> </v>
      </c>
      <c r="I171" s="14" t="str">
        <f t="shared" si="169"/>
        <v xml:space="preserve"> </v>
      </c>
      <c r="J171" s="14" t="str">
        <f t="shared" si="169"/>
        <v xml:space="preserve"> </v>
      </c>
      <c r="K171" s="14" t="str">
        <f t="shared" si="169"/>
        <v xml:space="preserve"> </v>
      </c>
      <c r="L171" s="14" t="str">
        <f t="shared" si="169"/>
        <v xml:space="preserve"> </v>
      </c>
      <c r="M171" s="14" t="str">
        <f t="shared" si="169"/>
        <v xml:space="preserve"> </v>
      </c>
      <c r="N171" s="14" t="str">
        <f t="shared" si="169"/>
        <v xml:space="preserve"> </v>
      </c>
      <c r="O171" s="14" t="str">
        <f t="shared" si="169"/>
        <v xml:space="preserve"> </v>
      </c>
      <c r="P171" s="14"/>
      <c r="Q171" s="14" t="str">
        <f t="shared" si="150"/>
        <v xml:space="preserve"> </v>
      </c>
      <c r="R171" s="14" t="str">
        <f t="shared" ref="R171:W171" si="170">IF((R38&lt;R$6)," ", R38)</f>
        <v xml:space="preserve"> </v>
      </c>
      <c r="S171" s="14" t="str">
        <f t="shared" si="170"/>
        <v xml:space="preserve"> </v>
      </c>
      <c r="T171" s="14" t="str">
        <f t="shared" si="170"/>
        <v xml:space="preserve"> </v>
      </c>
      <c r="U171" s="14" t="str">
        <f t="shared" si="170"/>
        <v xml:space="preserve"> </v>
      </c>
      <c r="V171" s="14" t="str">
        <f t="shared" si="170"/>
        <v xml:space="preserve"> </v>
      </c>
      <c r="W171" s="14" t="str">
        <f t="shared" si="170"/>
        <v xml:space="preserve"> </v>
      </c>
      <c r="X171" s="14" t="str">
        <f t="shared" si="152"/>
        <v xml:space="preserve"> </v>
      </c>
      <c r="Y171" s="14" t="str">
        <f t="shared" si="153"/>
        <v xml:space="preserve"> </v>
      </c>
    </row>
    <row r="172" spans="1:25" x14ac:dyDescent="0.3">
      <c r="A172" s="13" t="s">
        <v>1151</v>
      </c>
      <c r="B172" s="13">
        <f t="shared" si="147"/>
        <v>6</v>
      </c>
      <c r="C172" s="9">
        <v>4.4999999999999998E-2</v>
      </c>
      <c r="D172" s="14" t="str">
        <f t="shared" si="148"/>
        <v xml:space="preserve"> </v>
      </c>
      <c r="E172" s="14" t="str">
        <f t="shared" ref="E172:O172" si="171">IF((E39&lt;E$6)," ", E39)</f>
        <v xml:space="preserve"> </v>
      </c>
      <c r="F172" s="14">
        <f t="shared" si="171"/>
        <v>1251</v>
      </c>
      <c r="G172" s="14">
        <f t="shared" si="171"/>
        <v>4840</v>
      </c>
      <c r="H172" s="14" t="str">
        <f t="shared" si="171"/>
        <v xml:space="preserve"> </v>
      </c>
      <c r="I172" s="14" t="str">
        <f t="shared" si="171"/>
        <v xml:space="preserve"> </v>
      </c>
      <c r="J172" s="14" t="str">
        <f t="shared" si="171"/>
        <v xml:space="preserve"> </v>
      </c>
      <c r="K172" s="14" t="str">
        <f t="shared" si="171"/>
        <v xml:space="preserve"> </v>
      </c>
      <c r="L172" s="14">
        <f t="shared" si="171"/>
        <v>15.7</v>
      </c>
      <c r="M172" s="14" t="str">
        <f t="shared" si="171"/>
        <v xml:space="preserve"> </v>
      </c>
      <c r="N172" s="14">
        <f t="shared" si="171"/>
        <v>19</v>
      </c>
      <c r="O172" s="14" t="str">
        <f t="shared" si="171"/>
        <v xml:space="preserve"> </v>
      </c>
      <c r="P172" s="14"/>
      <c r="Q172" s="14" t="str">
        <f t="shared" si="150"/>
        <v xml:space="preserve"> </v>
      </c>
      <c r="R172" s="14" t="str">
        <f t="shared" ref="R172:W172" si="172">IF((R39&lt;R$6)," ", R39)</f>
        <v xml:space="preserve"> </v>
      </c>
      <c r="S172" s="14" t="str">
        <f t="shared" si="172"/>
        <v xml:space="preserve"> </v>
      </c>
      <c r="T172" s="14" t="str">
        <f t="shared" si="172"/>
        <v xml:space="preserve"> </v>
      </c>
      <c r="U172" s="14" t="str">
        <f t="shared" si="172"/>
        <v xml:space="preserve"> </v>
      </c>
      <c r="V172" s="14">
        <f t="shared" si="172"/>
        <v>89</v>
      </c>
      <c r="W172" s="14">
        <f t="shared" si="172"/>
        <v>205.6</v>
      </c>
      <c r="X172" s="14" t="str">
        <f t="shared" si="152"/>
        <v xml:space="preserve"> </v>
      </c>
      <c r="Y172" s="14" t="str">
        <f t="shared" si="153"/>
        <v xml:space="preserve"> </v>
      </c>
    </row>
    <row r="173" spans="1:25" x14ac:dyDescent="0.3">
      <c r="A173" s="13" t="s">
        <v>1159</v>
      </c>
      <c r="B173" s="13">
        <f t="shared" si="147"/>
        <v>4</v>
      </c>
      <c r="C173" s="9">
        <v>0.06</v>
      </c>
      <c r="D173" s="14" t="str">
        <f t="shared" si="148"/>
        <v xml:space="preserve"> </v>
      </c>
      <c r="E173" s="14" t="str">
        <f t="shared" ref="E173:O173" si="173">IF((E40&lt;E$6)," ", E40)</f>
        <v xml:space="preserve"> </v>
      </c>
      <c r="F173" s="14">
        <f t="shared" si="173"/>
        <v>1747</v>
      </c>
      <c r="G173" s="14">
        <f t="shared" si="173"/>
        <v>2420</v>
      </c>
      <c r="H173" s="14" t="str">
        <f t="shared" si="173"/>
        <v xml:space="preserve"> </v>
      </c>
      <c r="I173" s="14" t="str">
        <f t="shared" si="173"/>
        <v xml:space="preserve"> </v>
      </c>
      <c r="J173" s="14" t="str">
        <f t="shared" si="173"/>
        <v xml:space="preserve"> </v>
      </c>
      <c r="K173" s="14" t="str">
        <f t="shared" si="173"/>
        <v xml:space="preserve"> </v>
      </c>
      <c r="L173" s="14">
        <f t="shared" si="173"/>
        <v>15.2</v>
      </c>
      <c r="M173" s="14" t="str">
        <f t="shared" si="173"/>
        <v xml:space="preserve"> </v>
      </c>
      <c r="N173" s="14">
        <f t="shared" si="173"/>
        <v>22.8</v>
      </c>
      <c r="O173" s="14" t="str">
        <f t="shared" si="173"/>
        <v xml:space="preserve"> </v>
      </c>
      <c r="P173" s="14"/>
      <c r="Q173" s="14" t="str">
        <f t="shared" si="150"/>
        <v xml:space="preserve"> </v>
      </c>
      <c r="R173" s="14" t="str">
        <f t="shared" ref="R173:W173" si="174">IF((R40&lt;R$6)," ", R40)</f>
        <v xml:space="preserve"> </v>
      </c>
      <c r="S173" s="14" t="str">
        <f t="shared" si="174"/>
        <v xml:space="preserve"> </v>
      </c>
      <c r="T173" s="14" t="str">
        <f t="shared" si="174"/>
        <v xml:space="preserve"> </v>
      </c>
      <c r="U173" s="14" t="str">
        <f t="shared" si="174"/>
        <v xml:space="preserve"> </v>
      </c>
      <c r="V173" s="14" t="str">
        <f t="shared" si="174"/>
        <v xml:space="preserve"> </v>
      </c>
      <c r="W173" s="14" t="str">
        <f t="shared" si="174"/>
        <v xml:space="preserve"> </v>
      </c>
      <c r="X173" s="14" t="str">
        <f t="shared" si="152"/>
        <v xml:space="preserve"> </v>
      </c>
      <c r="Y173" s="14" t="str">
        <f t="shared" si="153"/>
        <v xml:space="preserve"> </v>
      </c>
    </row>
    <row r="174" spans="1:25" x14ac:dyDescent="0.3">
      <c r="C174" s="1">
        <f>SUM(C162:C173)/12</f>
        <v>8.1249999999999989E-2</v>
      </c>
    </row>
    <row r="175" spans="1:25" ht="28.8" x14ac:dyDescent="0.3">
      <c r="A175" t="s">
        <v>2442</v>
      </c>
      <c r="B175" s="15" t="s">
        <v>2437</v>
      </c>
    </row>
    <row r="176" spans="1:25" x14ac:dyDescent="0.3">
      <c r="A176" s="13" t="s">
        <v>1095</v>
      </c>
      <c r="B176" s="13">
        <f>COUNT(D176:Y176)</f>
        <v>0</v>
      </c>
      <c r="C176" s="9">
        <f>IF((B176&gt;0), 0, C162)</f>
        <v>0.09</v>
      </c>
      <c r="D176" s="14" t="str">
        <f t="shared" ref="D176:O176" si="175">IF((D29&lt;($B$159*D$6))," ", D29)</f>
        <v xml:space="preserve"> </v>
      </c>
      <c r="E176" s="14" t="str">
        <f t="shared" si="175"/>
        <v xml:space="preserve"> </v>
      </c>
      <c r="F176" s="14" t="str">
        <f t="shared" si="175"/>
        <v xml:space="preserve"> </v>
      </c>
      <c r="G176" s="14" t="str">
        <f t="shared" si="175"/>
        <v xml:space="preserve"> </v>
      </c>
      <c r="H176" s="14" t="str">
        <f t="shared" si="175"/>
        <v xml:space="preserve"> </v>
      </c>
      <c r="I176" s="14" t="str">
        <f t="shared" si="175"/>
        <v xml:space="preserve"> </v>
      </c>
      <c r="J176" s="14" t="str">
        <f t="shared" si="175"/>
        <v xml:space="preserve"> </v>
      </c>
      <c r="K176" s="14" t="str">
        <f t="shared" si="175"/>
        <v xml:space="preserve"> </v>
      </c>
      <c r="L176" s="14" t="str">
        <f t="shared" si="175"/>
        <v xml:space="preserve"> </v>
      </c>
      <c r="M176" s="14" t="str">
        <f t="shared" si="175"/>
        <v xml:space="preserve"> </v>
      </c>
      <c r="N176" s="14" t="str">
        <f t="shared" si="175"/>
        <v xml:space="preserve"> </v>
      </c>
      <c r="O176" s="14" t="str">
        <f t="shared" si="175"/>
        <v xml:space="preserve"> </v>
      </c>
      <c r="P176" s="14"/>
      <c r="Q176" s="14"/>
      <c r="R176" s="14" t="str">
        <f t="shared" ref="R176:W187" si="176">IF((R29&lt;($B$159*R$6))," ", R29)</f>
        <v xml:space="preserve"> </v>
      </c>
      <c r="S176" s="14" t="str">
        <f t="shared" si="176"/>
        <v xml:space="preserve"> </v>
      </c>
      <c r="T176" s="14" t="str">
        <f t="shared" si="176"/>
        <v xml:space="preserve"> </v>
      </c>
      <c r="U176" s="14" t="str">
        <f t="shared" si="176"/>
        <v xml:space="preserve"> </v>
      </c>
      <c r="V176" s="14" t="str">
        <f t="shared" si="176"/>
        <v xml:space="preserve"> </v>
      </c>
      <c r="W176" s="14" t="str">
        <f t="shared" si="176"/>
        <v xml:space="preserve"> </v>
      </c>
      <c r="X176" s="13"/>
      <c r="Y176" s="13"/>
    </row>
    <row r="177" spans="1:25" x14ac:dyDescent="0.3">
      <c r="A177" s="13" t="s">
        <v>1101</v>
      </c>
      <c r="B177" s="13">
        <f t="shared" ref="B177:B187" si="177">COUNT(D177:Y177)</f>
        <v>0</v>
      </c>
      <c r="C177" s="13">
        <f t="shared" ref="C177:C187" si="178">IF((B177&gt;0), 0, C163)</f>
        <v>0.09</v>
      </c>
      <c r="D177" s="14" t="str">
        <f t="shared" ref="D177:D187" si="179">IF((D30&lt;($B$159*D$6))," ", D30)</f>
        <v xml:space="preserve"> </v>
      </c>
      <c r="E177" s="14" t="str">
        <f t="shared" ref="E177:O177" si="180">IF((E30&lt;($B$159*E$6))," ", E30)</f>
        <v xml:space="preserve"> </v>
      </c>
      <c r="F177" s="14" t="str">
        <f t="shared" si="180"/>
        <v xml:space="preserve"> </v>
      </c>
      <c r="G177" s="14" t="str">
        <f t="shared" si="180"/>
        <v xml:space="preserve"> </v>
      </c>
      <c r="H177" s="14" t="str">
        <f t="shared" si="180"/>
        <v xml:space="preserve"> </v>
      </c>
      <c r="I177" s="14" t="str">
        <f t="shared" si="180"/>
        <v xml:space="preserve"> </v>
      </c>
      <c r="J177" s="14" t="str">
        <f t="shared" si="180"/>
        <v xml:space="preserve"> </v>
      </c>
      <c r="K177" s="14" t="str">
        <f t="shared" si="180"/>
        <v xml:space="preserve"> </v>
      </c>
      <c r="L177" s="14" t="str">
        <f t="shared" si="180"/>
        <v xml:space="preserve"> </v>
      </c>
      <c r="M177" s="14" t="str">
        <f t="shared" si="180"/>
        <v xml:space="preserve"> </v>
      </c>
      <c r="N177" s="14" t="str">
        <f t="shared" si="180"/>
        <v xml:space="preserve"> </v>
      </c>
      <c r="O177" s="14" t="str">
        <f t="shared" si="180"/>
        <v xml:space="preserve"> </v>
      </c>
      <c r="P177" s="14"/>
      <c r="Q177" s="14"/>
      <c r="R177" s="14" t="str">
        <f t="shared" si="176"/>
        <v xml:space="preserve"> </v>
      </c>
      <c r="S177" s="14" t="str">
        <f t="shared" si="176"/>
        <v xml:space="preserve"> </v>
      </c>
      <c r="T177" s="14" t="str">
        <f t="shared" si="176"/>
        <v xml:space="preserve"> </v>
      </c>
      <c r="U177" s="14" t="str">
        <f t="shared" si="176"/>
        <v xml:space="preserve"> </v>
      </c>
      <c r="V177" s="14" t="str">
        <f t="shared" si="176"/>
        <v xml:space="preserve"> </v>
      </c>
      <c r="W177" s="14" t="str">
        <f t="shared" si="176"/>
        <v xml:space="preserve"> </v>
      </c>
      <c r="X177" s="13"/>
      <c r="Y177" s="13"/>
    </row>
    <row r="178" spans="1:25" x14ac:dyDescent="0.3">
      <c r="A178" s="13" t="s">
        <v>1106</v>
      </c>
      <c r="B178" s="13">
        <f t="shared" si="177"/>
        <v>0</v>
      </c>
      <c r="C178" s="13">
        <f t="shared" si="178"/>
        <v>0.09</v>
      </c>
      <c r="D178" s="14" t="str">
        <f t="shared" si="179"/>
        <v xml:space="preserve"> </v>
      </c>
      <c r="E178" s="14" t="str">
        <f t="shared" ref="E178:O178" si="181">IF((E31&lt;($B$159*E$6))," ", E31)</f>
        <v xml:space="preserve"> </v>
      </c>
      <c r="F178" s="14" t="str">
        <f t="shared" si="181"/>
        <v xml:space="preserve"> </v>
      </c>
      <c r="G178" s="14" t="str">
        <f t="shared" si="181"/>
        <v xml:space="preserve"> </v>
      </c>
      <c r="H178" s="14" t="str">
        <f t="shared" si="181"/>
        <v xml:space="preserve"> </v>
      </c>
      <c r="I178" s="14" t="str">
        <f t="shared" si="181"/>
        <v xml:space="preserve"> </v>
      </c>
      <c r="J178" s="14" t="str">
        <f t="shared" si="181"/>
        <v xml:space="preserve"> </v>
      </c>
      <c r="K178" s="14" t="str">
        <f t="shared" si="181"/>
        <v xml:space="preserve"> </v>
      </c>
      <c r="L178" s="14" t="str">
        <f t="shared" si="181"/>
        <v xml:space="preserve"> </v>
      </c>
      <c r="M178" s="14" t="str">
        <f t="shared" si="181"/>
        <v xml:space="preserve"> </v>
      </c>
      <c r="N178" s="14" t="str">
        <f t="shared" si="181"/>
        <v xml:space="preserve"> </v>
      </c>
      <c r="O178" s="14" t="str">
        <f t="shared" si="181"/>
        <v xml:space="preserve"> </v>
      </c>
      <c r="P178" s="14"/>
      <c r="Q178" s="14"/>
      <c r="R178" s="14" t="str">
        <f t="shared" si="176"/>
        <v xml:space="preserve"> </v>
      </c>
      <c r="S178" s="14" t="str">
        <f t="shared" si="176"/>
        <v xml:space="preserve"> </v>
      </c>
      <c r="T178" s="14" t="str">
        <f t="shared" si="176"/>
        <v xml:space="preserve"> </v>
      </c>
      <c r="U178" s="14" t="str">
        <f t="shared" si="176"/>
        <v xml:space="preserve"> </v>
      </c>
      <c r="V178" s="14" t="str">
        <f t="shared" si="176"/>
        <v xml:space="preserve"> </v>
      </c>
      <c r="W178" s="14" t="str">
        <f t="shared" si="176"/>
        <v xml:space="preserve"> </v>
      </c>
      <c r="X178" s="13"/>
      <c r="Y178" s="13"/>
    </row>
    <row r="179" spans="1:25" x14ac:dyDescent="0.3">
      <c r="A179" s="13" t="s">
        <v>1110</v>
      </c>
      <c r="B179" s="13">
        <f t="shared" si="177"/>
        <v>0</v>
      </c>
      <c r="C179" s="13">
        <f t="shared" si="178"/>
        <v>0.09</v>
      </c>
      <c r="D179" s="14" t="str">
        <f t="shared" si="179"/>
        <v xml:space="preserve"> </v>
      </c>
      <c r="E179" s="14" t="str">
        <f t="shared" ref="E179:O179" si="182">IF((E32&lt;($B$159*E$6))," ", E32)</f>
        <v xml:space="preserve"> </v>
      </c>
      <c r="F179" s="14" t="str">
        <f t="shared" si="182"/>
        <v xml:space="preserve"> </v>
      </c>
      <c r="G179" s="14" t="str">
        <f t="shared" si="182"/>
        <v xml:space="preserve"> </v>
      </c>
      <c r="H179" s="14" t="str">
        <f t="shared" si="182"/>
        <v xml:space="preserve"> </v>
      </c>
      <c r="I179" s="14" t="str">
        <f t="shared" si="182"/>
        <v xml:space="preserve"> </v>
      </c>
      <c r="J179" s="14" t="str">
        <f t="shared" si="182"/>
        <v xml:space="preserve"> </v>
      </c>
      <c r="K179" s="14" t="str">
        <f t="shared" si="182"/>
        <v xml:space="preserve"> </v>
      </c>
      <c r="L179" s="14" t="str">
        <f t="shared" si="182"/>
        <v xml:space="preserve"> </v>
      </c>
      <c r="M179" s="14" t="str">
        <f t="shared" si="182"/>
        <v xml:space="preserve"> </v>
      </c>
      <c r="N179" s="14" t="str">
        <f t="shared" si="182"/>
        <v xml:space="preserve"> </v>
      </c>
      <c r="O179" s="14" t="str">
        <f t="shared" si="182"/>
        <v xml:space="preserve"> </v>
      </c>
      <c r="P179" s="14"/>
      <c r="Q179" s="14"/>
      <c r="R179" s="14" t="str">
        <f t="shared" si="176"/>
        <v xml:space="preserve"> </v>
      </c>
      <c r="S179" s="14" t="str">
        <f t="shared" si="176"/>
        <v xml:space="preserve"> </v>
      </c>
      <c r="T179" s="14" t="str">
        <f t="shared" si="176"/>
        <v xml:space="preserve"> </v>
      </c>
      <c r="U179" s="14" t="str">
        <f t="shared" si="176"/>
        <v xml:space="preserve"> </v>
      </c>
      <c r="V179" s="14" t="str">
        <f t="shared" si="176"/>
        <v xml:space="preserve"> </v>
      </c>
      <c r="W179" s="14" t="str">
        <f t="shared" si="176"/>
        <v xml:space="preserve"> </v>
      </c>
      <c r="X179" s="13"/>
      <c r="Y179" s="13"/>
    </row>
    <row r="180" spans="1:25" x14ac:dyDescent="0.3">
      <c r="A180" s="13" t="s">
        <v>1117</v>
      </c>
      <c r="B180" s="13">
        <f t="shared" si="177"/>
        <v>0</v>
      </c>
      <c r="C180" s="13">
        <f t="shared" si="178"/>
        <v>0.09</v>
      </c>
      <c r="D180" s="14" t="str">
        <f t="shared" si="179"/>
        <v xml:space="preserve"> </v>
      </c>
      <c r="E180" s="14" t="str">
        <f t="shared" ref="E180:O180" si="183">IF((E33&lt;($B$159*E$6))," ", E33)</f>
        <v xml:space="preserve"> </v>
      </c>
      <c r="F180" s="14" t="str">
        <f t="shared" si="183"/>
        <v xml:space="preserve"> </v>
      </c>
      <c r="G180" s="14" t="str">
        <f t="shared" si="183"/>
        <v xml:space="preserve"> </v>
      </c>
      <c r="H180" s="14" t="str">
        <f t="shared" si="183"/>
        <v xml:space="preserve"> </v>
      </c>
      <c r="I180" s="14" t="str">
        <f t="shared" si="183"/>
        <v xml:space="preserve"> </v>
      </c>
      <c r="J180" s="14" t="str">
        <f t="shared" si="183"/>
        <v xml:space="preserve"> </v>
      </c>
      <c r="K180" s="14" t="str">
        <f t="shared" si="183"/>
        <v xml:space="preserve"> </v>
      </c>
      <c r="L180" s="14" t="str">
        <f t="shared" si="183"/>
        <v xml:space="preserve"> </v>
      </c>
      <c r="M180" s="14" t="str">
        <f t="shared" si="183"/>
        <v xml:space="preserve"> </v>
      </c>
      <c r="N180" s="14" t="str">
        <f t="shared" si="183"/>
        <v xml:space="preserve"> </v>
      </c>
      <c r="O180" s="14" t="str">
        <f t="shared" si="183"/>
        <v xml:space="preserve"> </v>
      </c>
      <c r="P180" s="14"/>
      <c r="Q180" s="14"/>
      <c r="R180" s="14" t="str">
        <f t="shared" si="176"/>
        <v xml:space="preserve"> </v>
      </c>
      <c r="S180" s="14" t="str">
        <f t="shared" si="176"/>
        <v xml:space="preserve"> </v>
      </c>
      <c r="T180" s="14" t="str">
        <f t="shared" si="176"/>
        <v xml:space="preserve"> </v>
      </c>
      <c r="U180" s="14" t="str">
        <f t="shared" si="176"/>
        <v xml:space="preserve"> </v>
      </c>
      <c r="V180" s="14" t="str">
        <f t="shared" si="176"/>
        <v xml:space="preserve"> </v>
      </c>
      <c r="W180" s="14" t="str">
        <f t="shared" si="176"/>
        <v xml:space="preserve"> </v>
      </c>
      <c r="X180" s="13"/>
      <c r="Y180" s="13"/>
    </row>
    <row r="181" spans="1:25" x14ac:dyDescent="0.3">
      <c r="A181" s="13" t="s">
        <v>1123</v>
      </c>
      <c r="B181" s="13">
        <f t="shared" si="177"/>
        <v>0</v>
      </c>
      <c r="C181" s="13">
        <f t="shared" si="178"/>
        <v>0.09</v>
      </c>
      <c r="D181" s="14" t="str">
        <f t="shared" si="179"/>
        <v xml:space="preserve"> </v>
      </c>
      <c r="E181" s="14" t="str">
        <f t="shared" ref="E181:O181" si="184">IF((E34&lt;($B$159*E$6))," ", E34)</f>
        <v xml:space="preserve"> </v>
      </c>
      <c r="F181" s="14" t="str">
        <f t="shared" si="184"/>
        <v xml:space="preserve"> </v>
      </c>
      <c r="G181" s="14" t="str">
        <f t="shared" si="184"/>
        <v xml:space="preserve"> </v>
      </c>
      <c r="H181" s="14" t="str">
        <f t="shared" si="184"/>
        <v xml:space="preserve"> </v>
      </c>
      <c r="I181" s="14" t="str">
        <f t="shared" si="184"/>
        <v xml:space="preserve"> </v>
      </c>
      <c r="J181" s="14" t="str">
        <f t="shared" si="184"/>
        <v xml:space="preserve"> </v>
      </c>
      <c r="K181" s="14" t="str">
        <f t="shared" si="184"/>
        <v xml:space="preserve"> </v>
      </c>
      <c r="L181" s="14" t="str">
        <f t="shared" si="184"/>
        <v xml:space="preserve"> </v>
      </c>
      <c r="M181" s="14" t="str">
        <f t="shared" si="184"/>
        <v xml:space="preserve"> </v>
      </c>
      <c r="N181" s="14" t="str">
        <f t="shared" si="184"/>
        <v xml:space="preserve"> </v>
      </c>
      <c r="O181" s="14" t="str">
        <f t="shared" si="184"/>
        <v xml:space="preserve"> </v>
      </c>
      <c r="P181" s="14"/>
      <c r="Q181" s="14"/>
      <c r="R181" s="14" t="str">
        <f t="shared" si="176"/>
        <v xml:space="preserve"> </v>
      </c>
      <c r="S181" s="14" t="str">
        <f t="shared" si="176"/>
        <v xml:space="preserve"> </v>
      </c>
      <c r="T181" s="14" t="str">
        <f t="shared" si="176"/>
        <v xml:space="preserve"> </v>
      </c>
      <c r="U181" s="14" t="str">
        <f t="shared" si="176"/>
        <v xml:space="preserve"> </v>
      </c>
      <c r="V181" s="14" t="str">
        <f t="shared" si="176"/>
        <v xml:space="preserve"> </v>
      </c>
      <c r="W181" s="14" t="str">
        <f t="shared" si="176"/>
        <v xml:space="preserve"> </v>
      </c>
      <c r="X181" s="13"/>
      <c r="Y181" s="13"/>
    </row>
    <row r="182" spans="1:25" x14ac:dyDescent="0.3">
      <c r="A182" s="13" t="s">
        <v>1127</v>
      </c>
      <c r="B182" s="13">
        <f t="shared" si="177"/>
        <v>0</v>
      </c>
      <c r="C182" s="13">
        <f t="shared" si="178"/>
        <v>7.4999999999999997E-2</v>
      </c>
      <c r="D182" s="14" t="str">
        <f t="shared" si="179"/>
        <v xml:space="preserve"> </v>
      </c>
      <c r="E182" s="14" t="str">
        <f t="shared" ref="E182:O182" si="185">IF((E35&lt;($B$159*E$6))," ", E35)</f>
        <v xml:space="preserve"> </v>
      </c>
      <c r="F182" s="14" t="str">
        <f t="shared" si="185"/>
        <v xml:space="preserve"> </v>
      </c>
      <c r="G182" s="14" t="str">
        <f t="shared" si="185"/>
        <v xml:space="preserve"> </v>
      </c>
      <c r="H182" s="14" t="str">
        <f t="shared" si="185"/>
        <v xml:space="preserve"> </v>
      </c>
      <c r="I182" s="14" t="str">
        <f t="shared" si="185"/>
        <v xml:space="preserve"> </v>
      </c>
      <c r="J182" s="14" t="str">
        <f t="shared" si="185"/>
        <v xml:space="preserve"> </v>
      </c>
      <c r="K182" s="14" t="str">
        <f t="shared" si="185"/>
        <v xml:space="preserve"> </v>
      </c>
      <c r="L182" s="14" t="str">
        <f t="shared" si="185"/>
        <v xml:space="preserve"> </v>
      </c>
      <c r="M182" s="14" t="str">
        <f t="shared" si="185"/>
        <v xml:space="preserve"> </v>
      </c>
      <c r="N182" s="14" t="str">
        <f t="shared" si="185"/>
        <v xml:space="preserve"> </v>
      </c>
      <c r="O182" s="14" t="str">
        <f t="shared" si="185"/>
        <v xml:space="preserve"> </v>
      </c>
      <c r="P182" s="14"/>
      <c r="Q182" s="14"/>
      <c r="R182" s="14" t="str">
        <f t="shared" si="176"/>
        <v xml:space="preserve"> </v>
      </c>
      <c r="S182" s="14" t="str">
        <f t="shared" si="176"/>
        <v xml:space="preserve"> </v>
      </c>
      <c r="T182" s="14" t="str">
        <f t="shared" si="176"/>
        <v xml:space="preserve"> </v>
      </c>
      <c r="U182" s="14" t="str">
        <f t="shared" si="176"/>
        <v xml:space="preserve"> </v>
      </c>
      <c r="V182" s="14" t="str">
        <f t="shared" si="176"/>
        <v xml:space="preserve"> </v>
      </c>
      <c r="W182" s="14" t="str">
        <f t="shared" si="176"/>
        <v xml:space="preserve"> </v>
      </c>
      <c r="X182" s="13"/>
      <c r="Y182" s="13"/>
    </row>
    <row r="183" spans="1:25" x14ac:dyDescent="0.3">
      <c r="A183" s="13" t="s">
        <v>1134</v>
      </c>
      <c r="B183" s="13">
        <f t="shared" si="177"/>
        <v>0</v>
      </c>
      <c r="C183" s="13">
        <f t="shared" si="178"/>
        <v>7.4999999999999997E-2</v>
      </c>
      <c r="D183" s="14" t="str">
        <f t="shared" si="179"/>
        <v xml:space="preserve"> </v>
      </c>
      <c r="E183" s="14" t="str">
        <f t="shared" ref="E183:O183" si="186">IF((E36&lt;($B$159*E$6))," ", E36)</f>
        <v xml:space="preserve"> </v>
      </c>
      <c r="F183" s="14" t="str">
        <f t="shared" si="186"/>
        <v xml:space="preserve"> </v>
      </c>
      <c r="G183" s="14" t="str">
        <f t="shared" si="186"/>
        <v xml:space="preserve"> </v>
      </c>
      <c r="H183" s="14" t="str">
        <f t="shared" si="186"/>
        <v xml:space="preserve"> </v>
      </c>
      <c r="I183" s="14" t="str">
        <f t="shared" si="186"/>
        <v xml:space="preserve"> </v>
      </c>
      <c r="J183" s="14" t="str">
        <f t="shared" si="186"/>
        <v xml:space="preserve"> </v>
      </c>
      <c r="K183" s="14" t="str">
        <f t="shared" si="186"/>
        <v xml:space="preserve"> </v>
      </c>
      <c r="L183" s="14" t="str">
        <f t="shared" si="186"/>
        <v xml:space="preserve"> </v>
      </c>
      <c r="M183" s="14" t="str">
        <f t="shared" si="186"/>
        <v xml:space="preserve"> </v>
      </c>
      <c r="N183" s="14" t="str">
        <f t="shared" si="186"/>
        <v xml:space="preserve"> </v>
      </c>
      <c r="O183" s="14" t="str">
        <f t="shared" si="186"/>
        <v xml:space="preserve"> </v>
      </c>
      <c r="P183" s="14"/>
      <c r="Q183" s="14"/>
      <c r="R183" s="14" t="str">
        <f t="shared" si="176"/>
        <v xml:space="preserve"> </v>
      </c>
      <c r="S183" s="14" t="str">
        <f t="shared" si="176"/>
        <v xml:space="preserve"> </v>
      </c>
      <c r="T183" s="14" t="str">
        <f t="shared" si="176"/>
        <v xml:space="preserve"> </v>
      </c>
      <c r="U183" s="14" t="str">
        <f t="shared" si="176"/>
        <v xml:space="preserve"> </v>
      </c>
      <c r="V183" s="14" t="str">
        <f t="shared" si="176"/>
        <v xml:space="preserve"> </v>
      </c>
      <c r="W183" s="14" t="str">
        <f t="shared" si="176"/>
        <v xml:space="preserve"> </v>
      </c>
      <c r="X183" s="13"/>
      <c r="Y183" s="13"/>
    </row>
    <row r="184" spans="1:25" x14ac:dyDescent="0.3">
      <c r="A184" s="13" t="s">
        <v>1140</v>
      </c>
      <c r="B184" s="13">
        <f t="shared" si="177"/>
        <v>0</v>
      </c>
      <c r="C184" s="13">
        <f t="shared" si="178"/>
        <v>0.09</v>
      </c>
      <c r="D184" s="14" t="str">
        <f t="shared" si="179"/>
        <v xml:space="preserve"> </v>
      </c>
      <c r="E184" s="14" t="str">
        <f t="shared" ref="E184:O184" si="187">IF((E37&lt;($B$159*E$6))," ", E37)</f>
        <v xml:space="preserve"> </v>
      </c>
      <c r="F184" s="14" t="str">
        <f t="shared" si="187"/>
        <v xml:space="preserve"> </v>
      </c>
      <c r="G184" s="14" t="str">
        <f t="shared" si="187"/>
        <v xml:space="preserve"> </v>
      </c>
      <c r="H184" s="14" t="str">
        <f t="shared" si="187"/>
        <v xml:space="preserve"> </v>
      </c>
      <c r="I184" s="14" t="str">
        <f t="shared" si="187"/>
        <v xml:space="preserve"> </v>
      </c>
      <c r="J184" s="14" t="str">
        <f t="shared" si="187"/>
        <v xml:space="preserve"> </v>
      </c>
      <c r="K184" s="14" t="str">
        <f t="shared" si="187"/>
        <v xml:space="preserve"> </v>
      </c>
      <c r="L184" s="14" t="str">
        <f t="shared" si="187"/>
        <v xml:space="preserve"> </v>
      </c>
      <c r="M184" s="14" t="str">
        <f t="shared" si="187"/>
        <v xml:space="preserve"> </v>
      </c>
      <c r="N184" s="14" t="str">
        <f t="shared" si="187"/>
        <v xml:space="preserve"> </v>
      </c>
      <c r="O184" s="14" t="str">
        <f t="shared" si="187"/>
        <v xml:space="preserve"> </v>
      </c>
      <c r="P184" s="14"/>
      <c r="Q184" s="14"/>
      <c r="R184" s="14" t="str">
        <f t="shared" si="176"/>
        <v xml:space="preserve"> </v>
      </c>
      <c r="S184" s="14" t="str">
        <f t="shared" si="176"/>
        <v xml:space="preserve"> </v>
      </c>
      <c r="T184" s="14" t="str">
        <f t="shared" si="176"/>
        <v xml:space="preserve"> </v>
      </c>
      <c r="U184" s="14" t="str">
        <f t="shared" si="176"/>
        <v xml:space="preserve"> </v>
      </c>
      <c r="V184" s="14" t="str">
        <f t="shared" si="176"/>
        <v xml:space="preserve"> </v>
      </c>
      <c r="W184" s="14" t="str">
        <f t="shared" si="176"/>
        <v xml:space="preserve"> </v>
      </c>
      <c r="X184" s="13"/>
      <c r="Y184" s="13"/>
    </row>
    <row r="185" spans="1:25" x14ac:dyDescent="0.3">
      <c r="A185" s="13" t="s">
        <v>1144</v>
      </c>
      <c r="B185" s="13">
        <f t="shared" si="177"/>
        <v>0</v>
      </c>
      <c r="C185" s="13">
        <f t="shared" si="178"/>
        <v>0.09</v>
      </c>
      <c r="D185" s="14" t="str">
        <f t="shared" si="179"/>
        <v xml:space="preserve"> </v>
      </c>
      <c r="E185" s="14" t="str">
        <f t="shared" ref="E185:O185" si="188">IF((E38&lt;($B$159*E$6))," ", E38)</f>
        <v xml:space="preserve"> </v>
      </c>
      <c r="F185" s="14" t="str">
        <f t="shared" si="188"/>
        <v xml:space="preserve"> </v>
      </c>
      <c r="G185" s="14" t="str">
        <f t="shared" si="188"/>
        <v xml:space="preserve"> </v>
      </c>
      <c r="H185" s="14" t="str">
        <f t="shared" si="188"/>
        <v xml:space="preserve"> </v>
      </c>
      <c r="I185" s="14" t="str">
        <f t="shared" si="188"/>
        <v xml:space="preserve"> </v>
      </c>
      <c r="J185" s="14" t="str">
        <f t="shared" si="188"/>
        <v xml:space="preserve"> </v>
      </c>
      <c r="K185" s="14" t="str">
        <f t="shared" si="188"/>
        <v xml:space="preserve"> </v>
      </c>
      <c r="L185" s="14" t="str">
        <f t="shared" si="188"/>
        <v xml:space="preserve"> </v>
      </c>
      <c r="M185" s="14" t="str">
        <f t="shared" si="188"/>
        <v xml:space="preserve"> </v>
      </c>
      <c r="N185" s="14" t="str">
        <f t="shared" si="188"/>
        <v xml:space="preserve"> </v>
      </c>
      <c r="O185" s="14" t="str">
        <f t="shared" si="188"/>
        <v xml:space="preserve"> </v>
      </c>
      <c r="P185" s="14"/>
      <c r="Q185" s="14"/>
      <c r="R185" s="14" t="str">
        <f t="shared" si="176"/>
        <v xml:space="preserve"> </v>
      </c>
      <c r="S185" s="14" t="str">
        <f t="shared" si="176"/>
        <v xml:space="preserve"> </v>
      </c>
      <c r="T185" s="14" t="str">
        <f t="shared" si="176"/>
        <v xml:space="preserve"> </v>
      </c>
      <c r="U185" s="14" t="str">
        <f t="shared" si="176"/>
        <v xml:space="preserve"> </v>
      </c>
      <c r="V185" s="14" t="str">
        <f t="shared" si="176"/>
        <v xml:space="preserve"> </v>
      </c>
      <c r="W185" s="14" t="str">
        <f t="shared" si="176"/>
        <v xml:space="preserve"> </v>
      </c>
      <c r="X185" s="13"/>
      <c r="Y185" s="13"/>
    </row>
    <row r="186" spans="1:25" x14ac:dyDescent="0.3">
      <c r="A186" s="13" t="s">
        <v>1151</v>
      </c>
      <c r="B186" s="13">
        <f t="shared" si="177"/>
        <v>4</v>
      </c>
      <c r="C186" s="13">
        <f t="shared" si="178"/>
        <v>0</v>
      </c>
      <c r="D186" s="14" t="str">
        <f t="shared" si="179"/>
        <v xml:space="preserve"> </v>
      </c>
      <c r="E186" s="14" t="str">
        <f t="shared" ref="E186:O186" si="189">IF((E39&lt;($B$159*E$6))," ", E39)</f>
        <v xml:space="preserve"> </v>
      </c>
      <c r="F186" s="14">
        <f t="shared" si="189"/>
        <v>1251</v>
      </c>
      <c r="G186" s="14">
        <f t="shared" si="189"/>
        <v>4840</v>
      </c>
      <c r="H186" s="14" t="str">
        <f t="shared" si="189"/>
        <v xml:space="preserve"> </v>
      </c>
      <c r="I186" s="14" t="str">
        <f t="shared" si="189"/>
        <v xml:space="preserve"> </v>
      </c>
      <c r="J186" s="14" t="str">
        <f t="shared" si="189"/>
        <v xml:space="preserve"> </v>
      </c>
      <c r="K186" s="14" t="str">
        <f t="shared" si="189"/>
        <v xml:space="preserve"> </v>
      </c>
      <c r="L186" s="14">
        <f t="shared" si="189"/>
        <v>15.7</v>
      </c>
      <c r="M186" s="14" t="str">
        <f t="shared" si="189"/>
        <v xml:space="preserve"> </v>
      </c>
      <c r="N186" s="14">
        <f t="shared" si="189"/>
        <v>19</v>
      </c>
      <c r="O186" s="14" t="str">
        <f t="shared" si="189"/>
        <v xml:space="preserve"> </v>
      </c>
      <c r="P186" s="14"/>
      <c r="Q186" s="14"/>
      <c r="R186" s="14" t="str">
        <f t="shared" si="176"/>
        <v xml:space="preserve"> </v>
      </c>
      <c r="S186" s="14" t="str">
        <f t="shared" si="176"/>
        <v xml:space="preserve"> </v>
      </c>
      <c r="T186" s="14" t="str">
        <f t="shared" si="176"/>
        <v xml:space="preserve"> </v>
      </c>
      <c r="U186" s="14" t="str">
        <f t="shared" si="176"/>
        <v xml:space="preserve"> </v>
      </c>
      <c r="V186" s="14" t="str">
        <f t="shared" si="176"/>
        <v xml:space="preserve"> </v>
      </c>
      <c r="W186" s="14" t="str">
        <f t="shared" si="176"/>
        <v xml:space="preserve"> </v>
      </c>
      <c r="X186" s="13"/>
      <c r="Y186" s="13"/>
    </row>
    <row r="187" spans="1:25" x14ac:dyDescent="0.3">
      <c r="A187" s="13" t="s">
        <v>1159</v>
      </c>
      <c r="B187" s="13">
        <f t="shared" si="177"/>
        <v>4</v>
      </c>
      <c r="C187" s="13">
        <f t="shared" si="178"/>
        <v>0</v>
      </c>
      <c r="D187" s="14" t="str">
        <f t="shared" si="179"/>
        <v xml:space="preserve"> </v>
      </c>
      <c r="E187" s="14" t="str">
        <f t="shared" ref="E187:O187" si="190">IF((E40&lt;($B$159*E$6))," ", E40)</f>
        <v xml:space="preserve"> </v>
      </c>
      <c r="F187" s="14">
        <f t="shared" si="190"/>
        <v>1747</v>
      </c>
      <c r="G187" s="14">
        <f t="shared" si="190"/>
        <v>2420</v>
      </c>
      <c r="H187" s="14" t="str">
        <f t="shared" si="190"/>
        <v xml:space="preserve"> </v>
      </c>
      <c r="I187" s="14" t="str">
        <f t="shared" si="190"/>
        <v xml:space="preserve"> </v>
      </c>
      <c r="J187" s="14" t="str">
        <f t="shared" si="190"/>
        <v xml:space="preserve"> </v>
      </c>
      <c r="K187" s="14" t="str">
        <f t="shared" si="190"/>
        <v xml:space="preserve"> </v>
      </c>
      <c r="L187" s="14">
        <f t="shared" si="190"/>
        <v>15.2</v>
      </c>
      <c r="M187" s="14" t="str">
        <f t="shared" si="190"/>
        <v xml:space="preserve"> </v>
      </c>
      <c r="N187" s="14">
        <f t="shared" si="190"/>
        <v>22.8</v>
      </c>
      <c r="O187" s="14" t="str">
        <f t="shared" si="190"/>
        <v xml:space="preserve"> </v>
      </c>
      <c r="P187" s="14"/>
      <c r="Q187" s="14"/>
      <c r="R187" s="14" t="str">
        <f t="shared" si="176"/>
        <v xml:space="preserve"> </v>
      </c>
      <c r="S187" s="14" t="str">
        <f t="shared" si="176"/>
        <v xml:space="preserve"> </v>
      </c>
      <c r="T187" s="14" t="str">
        <f t="shared" si="176"/>
        <v xml:space="preserve"> </v>
      </c>
      <c r="U187" s="14" t="str">
        <f t="shared" si="176"/>
        <v xml:space="preserve"> </v>
      </c>
      <c r="V187" s="14" t="str">
        <f t="shared" si="176"/>
        <v xml:space="preserve"> </v>
      </c>
      <c r="W187" s="14" t="str">
        <f t="shared" si="176"/>
        <v xml:space="preserve"> </v>
      </c>
      <c r="X187" s="13"/>
      <c r="Y187" s="13"/>
    </row>
    <row r="188" spans="1:25" x14ac:dyDescent="0.3">
      <c r="B188" s="9">
        <v>5</v>
      </c>
      <c r="C188" s="10">
        <f>SUM(C176:C187)/12</f>
        <v>7.2499999999999981E-2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UwYzMxODI0LTA3ODAtNDkxMC04N2QxLWVhYWZmZDE4MmQ0Mi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MwMTM1Nzk8L1VzZXJOYW1lPjxEYXRlVGltZT4xMC8zMS8yMDIzIDM6MjU6MzMgUE08L0RhdGVUaW1lPjxMYWJlbFN0cmluZz5BRVAgSW50ZXJuYWw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50c31824-0780-4910-87d1-eaaffd182d42" value=""/>
  <element uid="d14f5c36-f44a-4315-b438-005cfe8f069f" value=""/>
</sisl>
</file>

<file path=customXml/itemProps1.xml><?xml version="1.0" encoding="utf-8"?>
<ds:datastoreItem xmlns:ds="http://schemas.openxmlformats.org/officeDocument/2006/customXml" ds:itemID="{5BE192A4-A8FC-4084-9EA9-29BDABCDD7D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D7CF19B-2652-4312-9A6E-9A5D1F46D2F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NPDES Monitoring Data Download</vt:lpstr>
      <vt:lpstr>Sheet1</vt:lpstr>
      <vt:lpstr>Outfall 003 to Plant</vt:lpstr>
      <vt:lpstr>Rate Compliance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NPDES Monitoring Data Download</dc:title>
  <dc:subject/>
  <dc:creator>US EPA - ECHO</dc:creator>
  <cp:keywords/>
  <dc:description/>
  <cp:lastModifiedBy>Greg Carter</cp:lastModifiedBy>
  <dcterms:created xsi:type="dcterms:W3CDTF">2020-01-17T23:15:40Z</dcterms:created>
  <dcterms:modified xsi:type="dcterms:W3CDTF">2023-11-08T18:25:50Z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afba38d2-149a-4dfc-bf94-2e097c554907</vt:lpwstr>
  </property>
  <property fmtid="{D5CDD505-2E9C-101B-9397-08002B2CF9AE}" pid="3" name="bjSaver">
    <vt:lpwstr>PeuLqgtu7eQSFPPEgTV8UOHBcipbzJLN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5" name="bjDocumentLabelXML-0">
    <vt:lpwstr>ames.com/2008/01/sie/internal/label"&gt;&lt;element uid="50c31824-0780-4910-87d1-eaaffd182d42" value="" /&gt;&lt;element uid="d14f5c36-f44a-4315-b438-005cfe8f069f" value="" /&gt;&lt;/sisl&gt;</vt:lpwstr>
  </property>
  <property fmtid="{D5CDD505-2E9C-101B-9397-08002B2CF9AE}" pid="6" name="bjDocumentSecurityLabel">
    <vt:lpwstr>AEP Internal</vt:lpwstr>
  </property>
  <property fmtid="{D5CDD505-2E9C-101B-9397-08002B2CF9AE}" pid="7" name="MSIP_Label_69f43042-6bda-44b2-91eb-eca3d3d484f4_SiteId">
    <vt:lpwstr>15f3c881-6b03-4ff6-8559-77bf5177818f</vt:lpwstr>
  </property>
  <property fmtid="{D5CDD505-2E9C-101B-9397-08002B2CF9AE}" pid="8" name="MSIP_Label_69f43042-6bda-44b2-91eb-eca3d3d484f4_Name">
    <vt:lpwstr>AEP Internal</vt:lpwstr>
  </property>
  <property fmtid="{D5CDD505-2E9C-101B-9397-08002B2CF9AE}" pid="9" name="MSIP_Label_69f43042-6bda-44b2-91eb-eca3d3d484f4_Enabled">
    <vt:lpwstr>true</vt:lpwstr>
  </property>
  <property fmtid="{D5CDD505-2E9C-101B-9397-08002B2CF9AE}" pid="10" name="bjClsUserRVM">
    <vt:lpwstr>[]</vt:lpwstr>
  </property>
  <property fmtid="{D5CDD505-2E9C-101B-9397-08002B2CF9AE}" pid="11" name="bjLabelHistoryID">
    <vt:lpwstr>{5BE192A4-A8FC-4084-9EA9-29BDABCDD7DB}</vt:lpwstr>
  </property>
</Properties>
</file>